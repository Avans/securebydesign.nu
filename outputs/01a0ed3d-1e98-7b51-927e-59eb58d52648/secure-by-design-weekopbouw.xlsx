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c7f4d1045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overzicht" sheetId="1" r:id="R8da313a43f1c4e03"/>
    <x:sheet xmlns:r="http://schemas.openxmlformats.org/officeDocument/2006/relationships" name="Activiteiten" sheetId="2" r:id="R1116a1a1caa245c3"/>
    <x:sheet xmlns:r="http://schemas.openxmlformats.org/officeDocument/2006/relationships" name="Eind Event" sheetId="3" r:id="R835f4a6ccbd3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26313A"/>
      <x:name val="Arial"/>
    </x:font>
    <x:font>
      <x:b/>
      <x:sz val="16"/>
      <x:color rgb="FF26313A"/>
      <x:name val="Arial"/>
    </x:font>
    <x:font>
      <x:i/>
      <x:sz val="11"/>
      <x:color rgb="FF626B73"/>
      <x:name val="Arial"/>
    </x:font>
    <x:font>
      <x:b/>
      <x:sz val="11"/>
      <x:color rgb="FF2631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5"/>
      </x:patternFill>
    </x:fill>
  </x:fills>
  <x:borders count="4">
    <x:border/>
    <x:border>
      <x:bottom style="thin">
        <x:color rgb="FFE1E4E7"/>
      </x:bottom>
    </x:border>
    <x:border>
      <x:top style="thin">
        <x:color rgb="FFE1E4E7"/>
      </x:top>
      <x:bottom style="thin">
        <x:color rgb="FFE1E4E7"/>
      </x:bottom>
    </x:border>
    <x:border>
      <x:top style="thin">
        <x:color rgb="FFE1E4E7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right" vertical="center"/>
    </x:xf>
    <x:xf numFmtId="200" fontId="4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horizontal="right" vertical="center"/>
    </x:xf>
    <x:xf numFmtId="200" fontId="4" fillId="0" borderId="3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c8f07cdf4480c" /><Relationship Type="http://schemas.openxmlformats.org/officeDocument/2006/relationships/theme" Target="/xl/theme/theme1.xml" Id="Ra5acbd63715b4ea9" /><Relationship Type="http://schemas.openxmlformats.org/officeDocument/2006/relationships/sharedStrings" Target="/xl/sharedStrings.xml" Id="R79e8c1110eec4511" /><Relationship Type="http://schemas.openxmlformats.org/officeDocument/2006/relationships/worksheet" Target="/xl/worksheets/sheet1.xml" Id="R8da313a43f1c4e03" /><Relationship Type="http://schemas.openxmlformats.org/officeDocument/2006/relationships/worksheet" Target="/xl/worksheets/sheet2.xml" Id="R1116a1a1caa245c3" /><Relationship Type="http://schemas.openxmlformats.org/officeDocument/2006/relationships/worksheet" Target="/xl/worksheets/sheet3.xml" Id="R835f4a6ccbd3490c" /></Relationships>
</file>

<file path=xl/tables/table1.xml><?xml version="1.0" encoding="utf-8"?>
<x:table xmlns:x="http://schemas.openxmlformats.org/spreadsheetml/2006/main" id="1" name="Weekplanning" displayName="Weekplanning" ref="A5:H25" headerRowCount="1" totalsRowCount="0" totalsRowShown="0">
  <x:autoFilter ref="A5:H25"/>
  <x:tableColumns count="8">
    <x:tableColumn id="1" name="Week"/>
    <x:tableColumn id="2" name="Fase / thema"/>
    <x:tableColumn id="3" name="Lessen &amp; clinics"/>
    <x:tableColumn id="4" name="Profielwerkplaats"/>
    <x:tableColumn id="5" name="Bedrijfsproject"/>
    <x:tableColumn id="6" name="Feedback &amp; kennis delen"/>
    <x:tableColumn id="7" name="Totaal uren"/>
    <x:tableColumn id="8" name="Projectdagen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Activiteitenplanning" displayName="Activiteitenplanning" ref="A5:E102" headerRowCount="1" totalsRowCount="0" totalsRowShown="0">
  <x:autoFilter ref="A5:E102"/>
  <x:tableColumns count="5">
    <x:tableColumn id="1" name="Week"/>
    <x:tableColumn id="2" name="Categorie"/>
    <x:tableColumn id="3" name="Blok / ritme"/>
    <x:tableColumn id="4" name="Uren"/>
    <x:tableColumn id="5" name="Activiteit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Eventprogramma" displayName="Eventprogramma" ref="A5:E22" headerRowCount="1" totalsRowCount="0" totalsRowShown="0">
  <x:autoFilter ref="A5:E22"/>
  <x:tableColumns count="5">
    <x:tableColumn id="1" name="Tijd"/>
    <x:tableColumn id="2" name="Onderdeel"/>
    <x:tableColumn id="3" name="Categorie"/>
    <x:tableColumn id="4" name="Uren geteld"/>
    <x:tableColumn id="5" name="Toelichting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0afbe1b1264b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bfdc8d5f0c4c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cd0a461e774dbc" /></Relationships>
</file>

<file path=xl/worksheets/sheet1.xml><?xml version="1.0" encoding="utf-8"?>
<x:worksheet xmlns:x="http://schemas.openxmlformats.org/spreadsheetml/2006/main">
  <x:sheetPr>
    <x:tabColor rgb="FF4957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21" hidden="0" customWidth="1"/>
    <x:col min="4" max="4" width="22" hidden="0" customWidth="1"/>
    <x:col min="5" max="5" width="21" hidden="0" customWidth="1"/>
    <x:col min="6" max="6" width="24" hidden="0" customWidth="1"/>
    <x:col min="7" max="7" width="18" hidden="0" customWidth="1"/>
    <x:col min="8" max="8" width="17" hidden="0" customWidth="1"/>
    <x:col min="9" max="9" width="50" hidden="0" customWidth="1"/>
    <x:col min="10" max="10" width="3" hidden="0" customWidth="1"/>
    <x:col min="11" max="1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Secure by Design — weekopbouw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 t="str">
        <x:v>Week 1–20. Getallen in uren per student/team. Dagen staan apart.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9" t="str">
        <x:v>Week</x:v>
      </x:c>
      <x:c r="B5" s="9" t="str">
        <x:v>Fase / thema</x:v>
      </x:c>
      <x:c r="C5" s="9" t="str">
        <x:v>Lessen &amp; clinics</x:v>
      </x:c>
      <x:c r="D5" s="9" t="str">
        <x:v>Profielwerkplaats</x:v>
      </x:c>
      <x:c r="E5" s="9" t="str">
        <x:v>Bedrijfsproject</x:v>
      </x:c>
      <x:c r="F5" s="9" t="str">
        <x:v>Feedback &amp; kennis delen</x:v>
      </x:c>
      <x:c r="G5" s="9" t="str">
        <x:v>Totaal uren</x:v>
      </x:c>
      <x:c r="H5" s="9" t="str">
        <x:v>Projectdagen</x:v>
      </x:c>
      <x:c r="I5" s="2" t="str">
        <x:v>Toelichting</x:v>
      </x:c>
      <x:c r="J5" s="2"/>
      <x:c r="K5" s="2" t="str">
        <x:v>Bronnen en gebruik</x:v>
      </x:c>
    </x:row>
    <x:row r="6" ht="52" customHeight="1">
      <x:c r="A6" s="16" t="n">
        <x:v>1</x:v>
      </x:c>
      <x:c r="B6" s="17" t="str">
        <x:v>Fundament · Mindset &amp; cultuur</x:v>
      </x:c>
      <x:c r="C6" s="18" t="n">
        <x:v>13.5</x:v>
      </x:c>
      <x:c r="D6" s="18" t="n">
        <x:v>0</x:v>
      </x:c>
      <x:c r="E6" s="18" t="n">
        <x:v>0</x:v>
      </x:c>
      <x:c r="F6" s="18" t="n">
        <x:v>0</x:v>
      </x:c>
      <x:c r="G6" s="19" t="n">
        <x:f>IF(COUNT(C6:F6)=4,SUM(C6:F6),"n.t.b.")</x:f>
        <x:v>13.5</x:v>
      </x:c>
      <x:c r="H6" s="20"/>
      <x:c r="I6" s="13" t="str">
        <x:v>Alle fundamentblokken, inclusief spel en integratie, vallen onder Lessen &amp; clinics.</x:v>
      </x:c>
      <x:c r="J6" s="2"/>
      <x:c r="K6" s="13" t="str">
        <x:v>Markdown: lesmateriaal/urenoverzicht-alle-weken.md</x:v>
      </x:c>
    </x:row>
    <x:row r="7" ht="52" customHeight="1">
      <x:c r="A7" s="21" t="n">
        <x:v>2</x:v>
      </x:c>
      <x:c r="B7" s="22" t="str">
        <x:v>Fundament · De boze buitenwereld</x:v>
      </x:c>
      <x:c r="C7" s="23" t="n">
        <x:v>13.5</x:v>
      </x:c>
      <x:c r="D7" s="23" t="n">
        <x:v>0</x:v>
      </x:c>
      <x:c r="E7" s="23" t="n">
        <x:v>0</x:v>
      </x:c>
      <x:c r="F7" s="23" t="n">
        <x:v>0</x:v>
      </x:c>
      <x:c r="G7" s="24" t="n">
        <x:f>IF(COUNT(C7:F7)=4,SUM(C7:F7),"n.t.b.")</x:f>
        <x:v>13.5</x:v>
      </x:c>
      <x:c r="H7" s="25"/>
      <x:c r="I7" s="13" t="str">
        <x:v>Alle fundamentblokken, inclusief spel en integratie, vallen onder Lessen &amp; clinics.</x:v>
      </x:c>
      <x:c r="J7" s="2"/>
      <x:c r="K7" s="13" t="str">
        <x:v>Stand: 29 september 2026. Onderwijsweken.</x:v>
      </x:c>
    </x:row>
    <x:row r="8" ht="52" customHeight="1">
      <x:c r="A8" s="21" t="n">
        <x:v>3</x:v>
      </x:c>
      <x:c r="B8" s="22" t="str">
        <x:v>Fundament · Governance &amp; organisatie</x:v>
      </x:c>
      <x:c r="C8" s="23" t="n">
        <x:v>13.5</x:v>
      </x:c>
      <x:c r="D8" s="23" t="n">
        <x:v>0</x:v>
      </x:c>
      <x:c r="E8" s="23" t="n">
        <x:v>0</x:v>
      </x:c>
      <x:c r="F8" s="23" t="n">
        <x:v>0</x:v>
      </x:c>
      <x:c r="G8" s="24" t="n">
        <x:f>IF(COUNT(C8:F8)=4,SUM(C8:F8),"n.t.b.")</x:f>
        <x:v>13.5</x:v>
      </x:c>
      <x:c r="H8" s="25"/>
      <x:c r="I8" s="13" t="str">
        <x:v>Alle fundamentblokken, inclusief spel en integratie, vallen onder Lessen &amp; clinics.</x:v>
      </x:c>
      <x:c r="J8" s="2"/>
      <x:c r="K8" s="13" t="str">
        <x:v>Uren zijn getallen; n.t.b. is geen nul.</x:v>
      </x:c>
    </x:row>
    <x:row r="9" ht="52" customHeight="1">
      <x:c r="A9" s="21" t="n">
        <x:v>4</x:v>
      </x:c>
      <x:c r="B9" s="22" t="str">
        <x:v>Fundament · Ontwerp &amp; testing</x:v>
      </x:c>
      <x:c r="C9" s="23" t="n">
        <x:v>13.5</x:v>
      </x:c>
      <x:c r="D9" s="23" t="n">
        <x:v>0</x:v>
      </x:c>
      <x:c r="E9" s="23" t="n">
        <x:v>0</x:v>
      </x:c>
      <x:c r="F9" s="23" t="n">
        <x:v>0</x:v>
      </x:c>
      <x:c r="G9" s="24" t="n">
        <x:f>IF(COUNT(C9:F9)=4,SUM(C9:F9),"n.t.b.")</x:f>
        <x:v>13.5</x:v>
      </x:c>
      <x:c r="H9" s="25"/>
      <x:c r="I9" s="13" t="str">
        <x:v>Alle fundamentblokken, inclusief spel en integratie, vallen onder Lessen &amp; clinics.</x:v>
      </x:c>
      <x:c r="J9" s="2"/>
      <x:c r="K9" s="13" t="str">
        <x:v>Vervang n.t.b. door uren om totalen te berekenen.</x:v>
      </x:c>
    </x:row>
    <x:row r="10" ht="52" customHeight="1">
      <x:c r="A10" s="21" t="n">
        <x:v>5</x:v>
      </x:c>
      <x:c r="B10" s="22" t="str">
        <x:v>Verkennen</x:v>
      </x:c>
      <x:c r="C10" s="23" t="n">
        <x:v>4.5</x:v>
      </x:c>
      <x:c r="D10" s="23" t="n">
        <x:v>4.5</x:v>
      </x:c>
      <x:c r="E10" s="23" t="n">
        <x:v>3</x:v>
      </x:c>
      <x:c r="F10" s="23" t="n">
        <x:v>1.5</x:v>
      </x:c>
      <x:c r="G10" s="24" t="n">
        <x:f>IF(COUNT(C10:F10)=4,SUM(C10:F10),"n.t.b.")</x:f>
        <x:v>13.5</x:v>
      </x:c>
      <x:c r="H10" s="25"/>
      <x:c r="I10" s="13" t="str">
        <x:v>Eén gecombineerd rooster. Tutorcontact is al opgenomen, geen extra uren.</x:v>
      </x:c>
      <x:c r="J10" s="2"/>
      <x:c r="K10" s="13" t="str">
        <x:v>Vier projectdagen zijn niet omgerekend naar uren.</x:v>
      </x:c>
    </x:row>
    <x:row r="11" ht="52" customHeight="1">
      <x:c r="A11" s="21" t="n">
        <x:v>6</x:v>
      </x:c>
      <x:c r="B11" s="22" t="str">
        <x:v>Kiezen</x:v>
      </x:c>
      <x:c r="C11" s="23" t="n">
        <x:v>4.5</x:v>
      </x:c>
      <x:c r="D11" s="23" t="n">
        <x:v>3</x:v>
      </x:c>
      <x:c r="E11" s="23" t="n">
        <x:v>4.5</x:v>
      </x:c>
      <x:c r="F11" s="23" t="n">
        <x:v>1.5</x:v>
      </x:c>
      <x:c r="G11" s="24" t="n">
        <x:f>IF(COUNT(C11:F11)=4,SUM(C11:F11),"n.t.b.")</x:f>
        <x:v>13.5</x:v>
      </x:c>
      <x:c r="H11" s="25"/>
      <x:c r="I11" s="13" t="str">
        <x:v>Eén gecombineerd rooster. Tutorcontact is al opgenomen, geen extra uren.</x:v>
      </x:c>
      <x:c r="J11" s="2"/>
      <x:c r="K11" s="13" t="str">
        <x:v>Profieluren na W10 zijn nog niet vastgelegd.</x:v>
      </x:c>
    </x:row>
    <x:row r="12" ht="52" customHeight="1">
      <x:c r="A12" s="21" t="n">
        <x:v>7</x:v>
      </x:c>
      <x:c r="B12" s="22" t="str">
        <x:v>Onderzoeken</x:v>
      </x:c>
      <x:c r="C12" s="23" t="n">
        <x:v>3</x:v>
      </x:c>
      <x:c r="D12" s="23" t="n">
        <x:v>4.5</x:v>
      </x:c>
      <x:c r="E12" s="23" t="n">
        <x:v>4.5</x:v>
      </x:c>
      <x:c r="F12" s="23" t="n">
        <x:v>1.5</x:v>
      </x:c>
      <x:c r="G12" s="24" t="n">
        <x:f>IF(COUNT(C12:F12)=4,SUM(C12:F12),"n.t.b.")</x:f>
        <x:v>13.5</x:v>
      </x:c>
      <x:c r="H12" s="25"/>
      <x:c r="I12" s="13" t="str">
        <x:v>Eén gecombineerd rooster. Tutorcontact is al opgenomen, geen extra uren.</x:v>
      </x:c>
      <x:c r="J12" s="2"/>
      <x:c r="K12" s="13" t="str">
        <x:v>Daglengte en onderwijsdagverdeling nog bepalen.</x:v>
      </x:c>
    </x:row>
    <x:row r="13" ht="52" customHeight="1">
      <x:c r="A13" s="21" t="n">
        <x:v>8</x:v>
      </x:c>
      <x:c r="B13" s="22" t="str">
        <x:v>Beproeven</x:v>
      </x:c>
      <x:c r="C13" s="23" t="n">
        <x:v>3</x:v>
      </x:c>
      <x:c r="D13" s="23" t="n">
        <x:v>3</x:v>
      </x:c>
      <x:c r="E13" s="23" t="n">
        <x:v>6</x:v>
      </x:c>
      <x:c r="F13" s="23" t="n">
        <x:v>1.5</x:v>
      </x:c>
      <x:c r="G13" s="24" t="n">
        <x:f>IF(COUNT(C13:F13)=4,SUM(C13:F13),"n.t.b.")</x:f>
        <x:v>13.5</x:v>
      </x:c>
      <x:c r="H13" s="25"/>
      <x:c r="I13" s="13" t="str">
        <x:v>Eén gecombineerd rooster. Tutorcontact is al opgenomen, geen extra uren.</x:v>
      </x:c>
      <x:c r="J13" s="2"/>
      <x:c r="K13" s="13" t="str">
        <x:v>Kennistoetsduur en bedrijfsbezoek nog bepalen.</x:v>
      </x:c>
    </x:row>
    <x:row r="14" ht="52" customHeight="1">
      <x:c r="A14" s="21" t="n">
        <x:v>9</x:v>
      </x:c>
      <x:c r="B14" s="22" t="str">
        <x:v>Verbinden</x:v>
      </x:c>
      <x:c r="C14" s="23" t="n">
        <x:v>1.5</x:v>
      </x:c>
      <x:c r="D14" s="23" t="n">
        <x:v>3</x:v>
      </x:c>
      <x:c r="E14" s="23" t="n">
        <x:v>7.5</x:v>
      </x:c>
      <x:c r="F14" s="23" t="n">
        <x:v>1.5</x:v>
      </x:c>
      <x:c r="G14" s="24" t="n">
        <x:f>IF(COUNT(C14:F14)=4,SUM(C14:F14),"n.t.b.")</x:f>
        <x:v>13.5</x:v>
      </x:c>
      <x:c r="H14" s="25"/>
      <x:c r="I14" s="13" t="str">
        <x:v>Eén gecombineerd rooster. Tutorcontact is al opgenomen, geen extra uren.</x:v>
      </x:c>
      <x:c r="J14" s="2"/>
      <x:c r="K14" s="13" t="str">
        <x:v>Website: app/content/fundament.nl.ts</x:v>
      </x:c>
    </x:row>
    <x:row r="15" ht="52" customHeight="1">
      <x:c r="A15" s="21" t="n">
        <x:v>10</x:v>
      </x:c>
      <x:c r="B15" s="22" t="str">
        <x:v>Tussenbalans</x:v>
      </x:c>
      <x:c r="C15" s="23" t="n">
        <x:v>1.5</x:v>
      </x:c>
      <x:c r="D15" s="23" t="n">
        <x:v>3</x:v>
      </x:c>
      <x:c r="E15" s="23" t="n">
        <x:v>7.5</x:v>
      </x:c>
      <x:c r="F15" s="23" t="n">
        <x:v>1.5</x:v>
      </x:c>
      <x:c r="G15" s="24" t="n">
        <x:f>IF(COUNT(C15:F15)=4,SUM(C15:F15),"n.t.b.")</x:f>
        <x:v>13.5</x:v>
      </x:c>
      <x:c r="H15" s="25"/>
      <x:c r="I15" s="13" t="str">
        <x:v>Eén gecombineerd rooster. Tutorcontact is al opgenomen, geen extra uren.</x:v>
      </x:c>
      <x:c r="J15" s="2"/>
      <x:c r="K15" s="13" t="str">
        <x:v>Website: app/content/professioneel-profiel.nl.ts</x:v>
      </x:c>
    </x:row>
    <x:row r="16" ht="52" customHeight="1">
      <x:c r="A16" s="21" t="n">
        <x:v>11</x:v>
      </x:c>
      <x:c r="B16" s="22" t="str">
        <x:v>Business Understanding</x:v>
      </x:c>
      <x:c r="C16" s="23" t="n">
        <x:v>3.5</x:v>
      </x:c>
      <x:c r="D16" s="23" t="str">
        <x:v>n.t.b.</x:v>
      </x:c>
      <x:c r="E16" s="23" t="str">
        <x:v>n.t.b.</x:v>
      </x:c>
      <x:c r="F16" s="23" t="n">
        <x:v>1</x:v>
      </x:c>
      <x:c r="G16" s="24" t="str">
        <x:f>IF(COUNT(C16:F16)=4,SUM(C16:F16),"n.t.b.")</x:f>
        <x:v>n.t.b.</x:v>
      </x:c>
      <x:c r="H16" s="25" t="n">
        <x:v>4</x:v>
      </x:c>
      <x:c r="I16" s="13" t="str">
        <x:v>Onderwijs + tutor volgens concept-OPF. Website noemt 30–45 min tutor, OPF 60 min.</x:v>
      </x:c>
      <x:c r="J16" s="2"/>
      <x:c r="K16" s="13" t="str">
        <x:v>Website: app/content/project.nl.ts</x:v>
      </x:c>
    </x:row>
    <x:row r="17" ht="52" customHeight="1">
      <x:c r="A17" s="21" t="n">
        <x:v>12</x:v>
      </x:c>
      <x:c r="B17" s="22" t="str">
        <x:v>Bewijs &amp; validatie</x:v>
      </x:c>
      <x:c r="C17" s="23" t="n">
        <x:v>1.5</x:v>
      </x:c>
      <x:c r="D17" s="23" t="str">
        <x:v>n.t.b.</x:v>
      </x:c>
      <x:c r="E17" s="23" t="str">
        <x:v>n.t.b.</x:v>
      </x:c>
      <x:c r="F17" s="23" t="n">
        <x:v>1</x:v>
      </x:c>
      <x:c r="G17" s="24" t="str">
        <x:f>IF(COUNT(C17:F17)=4,SUM(C17:F17),"n.t.b.")</x:f>
        <x:v>n.t.b.</x:v>
      </x:c>
      <x:c r="H17" s="25" t="n">
        <x:v>4</x:v>
      </x:c>
      <x:c r="I17" s="13" t="str">
        <x:v>Onderwijs + tutor volgens concept-OPF. Website noemt 30–45 min tutor, OPF 60 min.</x:v>
      </x:c>
      <x:c r="J17" s="2"/>
      <x:c r="K17" s="13" t="str">
        <x:v>Website: app/content/eindevent.nl.ts</x:v>
      </x:c>
    </x:row>
    <x:row r="18" ht="52" customHeight="1">
      <x:c r="A18" s="21" t="n">
        <x:v>13</x:v>
      </x:c>
      <x:c r="B18" s="22" t="str">
        <x:v>Samenwerken &amp; bijsturen</x:v>
      </x:c>
      <x:c r="C18" s="23" t="n">
        <x:v>1.5</x:v>
      </x:c>
      <x:c r="D18" s="23" t="str">
        <x:v>n.t.b.</x:v>
      </x:c>
      <x:c r="E18" s="23" t="str">
        <x:v>n.t.b.</x:v>
      </x:c>
      <x:c r="F18" s="23" t="n">
        <x:v>1</x:v>
      </x:c>
      <x:c r="G18" s="24" t="str">
        <x:f>IF(COUNT(C18:F18)=4,SUM(C18:F18),"n.t.b.")</x:f>
        <x:v>n.t.b.</x:v>
      </x:c>
      <x:c r="H18" s="25" t="n">
        <x:v>4</x:v>
      </x:c>
      <x:c r="I18" s="13" t="str">
        <x:v>Onderwijs + tutor volgens concept-OPF. Website noemt 30–45 min tutor, OPF 60 min.</x:v>
      </x:c>
      <x:c r="J18" s="2"/>
      <x:c r="K18" s="13" t="str">
        <x:v>Duren: lesmateriaal/opf-v0.2-leesbaar.md</x:v>
      </x:c>
    </x:row>
    <x:row r="19" ht="52" customHeight="1">
      <x:c r="A19" s="21" t="n">
        <x:v>14</x:v>
      </x:c>
      <x:c r="B19" s="22" t="str">
        <x:v>Midterm review</x:v>
      </x:c>
      <x:c r="C19" s="23" t="n">
        <x:v>3</x:v>
      </x:c>
      <x:c r="D19" s="23" t="str">
        <x:v>n.t.b.</x:v>
      </x:c>
      <x:c r="E19" s="23" t="str">
        <x:v>n.t.b.</x:v>
      </x:c>
      <x:c r="F19" s="23" t="n">
        <x:v>0</x:v>
      </x:c>
      <x:c r="G19" s="24" t="str">
        <x:f>IF(COUNT(C19:F19)=4,SUM(C19:F19),"n.t.b.")</x:f>
        <x:v>n.t.b.</x:v>
      </x:c>
      <x:c r="H19" s="25" t="n">
        <x:v>4</x:v>
      </x:c>
      <x:c r="I19" s="13" t="str">
        <x:v>Midterm: 3 uur programma, 30 min eigen team. Vervangt regulier tutorcontact.</x:v>
      </x:c>
      <x:c r="J19" s="2"/>
      <x:c r="K19" s="13" t="str">
        <x:v>OPF: 1,5 uur regulier onderwijs, 1 uur tutor.</x:v>
      </x:c>
    </x:row>
    <x:row r="20" ht="52" customHeight="1">
      <x:c r="A20" s="21" t="n">
        <x:v>15</x:v>
      </x:c>
      <x:c r="B20" s="22" t="str">
        <x:v>Analyseren &amp; adviseren</x:v>
      </x:c>
      <x:c r="C20" s="23" t="n">
        <x:v>1.5</x:v>
      </x:c>
      <x:c r="D20" s="23" t="str">
        <x:v>n.t.b.</x:v>
      </x:c>
      <x:c r="E20" s="23" t="str">
        <x:v>n.t.b.</x:v>
      </x:c>
      <x:c r="F20" s="23" t="n">
        <x:v>1</x:v>
      </x:c>
      <x:c r="G20" s="24" t="str">
        <x:f>IF(COUNT(C20:F20)=4,SUM(C20:F20),"n.t.b.")</x:f>
        <x:v>n.t.b.</x:v>
      </x:c>
      <x:c r="H20" s="25" t="n">
        <x:v>4</x:v>
      </x:c>
      <x:c r="I20" s="13" t="str">
        <x:v>Onderwijs + tutor volgens concept-OPF. Website noemt 30–45 min tutor, OPF 60 min.</x:v>
      </x:c>
      <x:c r="J20" s="2"/>
      <x:c r="K20" s="13" t="str">
        <x:v>OPF: midterm 3 uur programma, 6 teamreviews.</x:v>
      </x:c>
    </x:row>
    <x:row r="21" ht="52" customHeight="1">
      <x:c r="A21" s="21" t="n">
        <x:v>16</x:v>
      </x:c>
      <x:c r="B21" s="22" t="str">
        <x:v>Kennis overdragen</x:v>
      </x:c>
      <x:c r="C21" s="23" t="n">
        <x:v>1.5</x:v>
      </x:c>
      <x:c r="D21" s="23" t="str">
        <x:v>n.t.b.</x:v>
      </x:c>
      <x:c r="E21" s="23" t="str">
        <x:v>n.t.b.</x:v>
      </x:c>
      <x:c r="F21" s="23" t="n">
        <x:v>1</x:v>
      </x:c>
      <x:c r="G21" s="24" t="str">
        <x:f>IF(COUNT(C21:F21)=4,SUM(C21:F21),"n.t.b.")</x:f>
        <x:v>n.t.b.</x:v>
      </x:c>
      <x:c r="H21" s="25" t="n">
        <x:v>4</x:v>
      </x:c>
      <x:c r="I21" s="13" t="str">
        <x:v>Onderwijs + tutor volgens concept-OPF. Website noemt 30–45 min tutor, OPF 60 min.</x:v>
      </x:c>
      <x:c r="J21" s="2"/>
      <x:c r="K21" s="13" t="str">
        <x:v>Voorgestelde weekverschuivingen niet verwerkt.</x:v>
      </x:c>
    </x:row>
    <x:row r="22" ht="52" customHeight="1">
      <x:c r="A22" s="21" t="n">
        <x:v>17</x:v>
      </x:c>
      <x:c r="B22" s="22" t="str">
        <x:v>Valideren &amp; afronden</x:v>
      </x:c>
      <x:c r="C22" s="23" t="n">
        <x:v>1.5</x:v>
      </x:c>
      <x:c r="D22" s="23" t="str">
        <x:v>n.t.b.</x:v>
      </x:c>
      <x:c r="E22" s="23" t="str">
        <x:v>n.t.b.</x:v>
      </x:c>
      <x:c r="F22" s="23" t="n">
        <x:v>1</x:v>
      </x:c>
      <x:c r="G22" s="24" t="str">
        <x:f>IF(COUNT(C22:F22)=4,SUM(C22:F22),"n.t.b.")</x:f>
        <x:v>n.t.b.</x:v>
      </x:c>
      <x:c r="H22" s="25" t="n">
        <x:v>4</x:v>
      </x:c>
      <x:c r="I22" s="13" t="str">
        <x:v>Onderwijs + tutor volgens concept-OPF. Website noemt 30–45 min tutor, OPF 60 min.</x:v>
      </x:c>
      <x:c r="J22" s="2"/>
      <x:c r="K22" s="13" t="str">
        <x:v>Dit is een export. Markdown blijft de bron.</x:v>
      </x:c>
    </x:row>
    <x:row r="23" ht="52" customHeight="1">
      <x:c r="A23" s="21" t="n">
        <x:v>18</x:v>
      </x:c>
      <x:c r="B23" s="22" t="str">
        <x:v>Opleveren aan het bedrijf</x:v>
      </x:c>
      <x:c r="C23" s="23" t="n">
        <x:v>1.5</x:v>
      </x:c>
      <x:c r="D23" s="23" t="str">
        <x:v>n.t.b.</x:v>
      </x:c>
      <x:c r="E23" s="23" t="str">
        <x:v>n.t.b.</x:v>
      </x:c>
      <x:c r="F23" s="23" t="n">
        <x:v>1</x:v>
      </x:c>
      <x:c r="G23" s="24" t="str">
        <x:f>IF(COUNT(C23:F23)=4,SUM(C23:F23),"n.t.b.")</x:f>
        <x:v>n.t.b.</x:v>
      </x:c>
      <x:c r="H23" s="25" t="n">
        <x:v>4</x:v>
      </x:c>
      <x:c r="I23" s="13" t="str">
        <x:v>Onderwijs + tutor volgens concept-OPF. Website noemt 30–45 min tutor, OPF 60 min.</x:v>
      </x:c>
      <x:c r="J23" s="2"/>
      <x:c r="K23" s="2"/>
    </x:row>
    <x:row r="24" ht="52" customHeight="1">
      <x:c r="A24" s="21" t="n">
        <x:v>19</x:v>
      </x:c>
      <x:c r="B24" s="22" t="str">
        <x:v>Eind Event &amp; afsluiting</x:v>
      </x:c>
      <x:c r="C24" s="23" t="str">
        <x:v>Zie Eind Event</x:v>
      </x:c>
      <x:c r="D24" s="23" t="str">
        <x:v>n.t.b.</x:v>
      </x:c>
      <x:c r="E24" s="23" t="str">
        <x:v>n.t.b.</x:v>
      </x:c>
      <x:c r="F24" s="23" t="str">
        <x:v>Zie Eind Event</x:v>
      </x:c>
      <x:c r="G24" s="24" t="str">
        <x:f>IF(COUNT(C24:F24)=4,SUM(C24:F24),"n.t.b.")</x:f>
        <x:v>n.t.b.</x:v>
      </x:c>
      <x:c r="H24" s="25"/>
      <x:c r="I24" s="13" t="str">
        <x:v>Event 09:00–18:00, incl. pauzes. Voorbereiding, afsluiting en tutoruren niet dubbel tellen.</x:v>
      </x:c>
      <x:c r="J24" s="2"/>
      <x:c r="K24" s="2"/>
    </x:row>
    <x:row r="25" ht="52" customHeight="1">
      <x:c r="A25" s="26" t="n">
        <x:v>20</x:v>
      </x:c>
      <x:c r="B25" s="27" t="str">
        <x:v>Herkansingen &amp; reparaties</x:v>
      </x:c>
      <x:c r="C25" s="28" t="str">
        <x:v>n.t.b.</x:v>
      </x:c>
      <x:c r="D25" s="28" t="str">
        <x:v>n.t.b.</x:v>
      </x:c>
      <x:c r="E25" s="28" t="str">
        <x:v>n.t.b.</x:v>
      </x:c>
      <x:c r="F25" s="28" t="str">
        <x:v>n.t.b.</x:v>
      </x:c>
      <x:c r="G25" s="29" t="str">
        <x:f>IF(COUNT(C25:F25)=4,SUM(C25:F25),"n.t.b.")</x:f>
        <x:v>n.t.b.</x:v>
      </x:c>
      <x:c r="H25" s="30"/>
      <x:c r="I25" s="13" t="str">
        <x:v>Omvang van herkansing en reparaties nog te bepalen.</x:v>
      </x:c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32" customHeight="1">
      <x:c r="A28" s="6" t="str">
        <x:v>W1–10</x:v>
      </x:c>
      <x:c r="B28" s="6"/>
      <x:c r="C28" s="32" t="n">
        <x:f>SUM(C6:C15)</x:f>
        <x:v>72</x:v>
      </x:c>
      <x:c r="D28" s="32" t="n">
        <x:f>SUM(D6:D15)</x:f>
        <x:v>21</x:v>
      </x:c>
      <x:c r="E28" s="32" t="n">
        <x:f>SUM(E6:E15)</x:f>
        <x:v>33</x:v>
      </x:c>
      <x:c r="F28" s="32" t="n">
        <x:f>SUM(F6:F15)</x:f>
        <x:v>9</x:v>
      </x:c>
      <x:c r="G28" s="32" t="n">
        <x:f>SUM(G6:G15)</x:f>
        <x:v>135</x:v>
      </x:c>
      <x:c r="H28" s="6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</x:sheetData>
  <x:conditionalFormatting sqref="G6:G25">
    <x:cfRule type="containsText" dxfId="0" priority="1" operator="containsText" text="n.t.b."/>
  </x:conditionalFormatting>
  <x:conditionalFormatting sqref="C6:F25">
    <x:cfRule type="containsText" dxfId="1" priority="2" operator="containsText" text="n.t.b."/>
  </x:conditionalFormatting>
  <x:pageMargins left="0.7" right="0.7" top="0.75" bottom="0.75" header="0.3" footer="0.3"/>
  <x:tableParts count="1">
    <x:tablePart xmlns:r="http://schemas.openxmlformats.org/officeDocument/2006/relationships" r:id="Ra20afbe1b1264b9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7" hidden="0" customWidth="1"/>
    <x:col min="3" max="3" width="19" hidden="0" customWidth="1"/>
    <x:col min="4" max="4" width="12" hidden="0" customWidth="1"/>
    <x:col min="5" max="5" width="90" hidden="0" customWidth="1"/>
    <x:col min="6" max="6" width="3" hidden="0" customWidth="1"/>
    <x:col min="7" max="7" width="4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Secure by Design — activiteiten</x:v>
      </x:c>
      <x:c r="B2" s="2"/>
      <x:c r="C2" s="2"/>
      <x:c r="D2" s="2"/>
      <x:c r="E2" s="2"/>
      <x:c r="F2" s="2"/>
      <x:c r="G2" s="2"/>
    </x:row>
    <x:row r="3">
      <x:c r="A3" s="4" t="str">
        <x:v>Alle weken. Uren per activiteit. n.t.b. betekent dat de duur nog ontbreekt.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44" customHeight="1">
      <x:c r="A5" s="9" t="str">
        <x:v>Week</x:v>
      </x:c>
      <x:c r="B5" s="9" t="str">
        <x:v>Categorie</x:v>
      </x:c>
      <x:c r="C5" s="9" t="str">
        <x:v>Blok / ritme</x:v>
      </x:c>
      <x:c r="D5" s="9" t="str">
        <x:v>Uren</x:v>
      </x:c>
      <x:c r="E5" s="9" t="str">
        <x:v>Activiteit</x:v>
      </x:c>
      <x:c r="F5" s="2"/>
      <x:c r="G5" s="2" t="str">
        <x:v>Bron</x:v>
      </x:c>
    </x:row>
    <x:row r="6" ht="54" customHeight="1">
      <x:c r="A6" s="16" t="n">
        <x:v>1</x:v>
      </x:c>
      <x:c r="B6" s="17" t="str">
        <x:v>Lessen &amp; clinics</x:v>
      </x:c>
      <x:c r="C6" s="17" t="str">
        <x:v>B1</x:v>
      </x:c>
      <x:c r="D6" s="35" t="n">
        <x:v>1.5</x:v>
      </x:c>
      <x:c r="E6" s="17" t="str">
        <x:v>Intro Secure by Design</x:v>
      </x:c>
      <x:c r="F6" s="2"/>
      <x:c r="G6" s="2" t="str">
        <x:v>Fundament, actueel website-overzicht</x:v>
      </x:c>
    </x:row>
    <x:row r="7" ht="54" customHeight="1">
      <x:c r="A7" s="21" t="n">
        <x:v>1</x:v>
      </x:c>
      <x:c r="B7" s="22" t="str">
        <x:v>Lessen &amp; clinics</x:v>
      </x:c>
      <x:c r="C7" s="22" t="str">
        <x:v>B2</x:v>
      </x:c>
      <x:c r="D7" s="36" t="n">
        <x:v>1.5</x:v>
      </x:c>
      <x:c r="E7" s="22" t="str">
        <x:v>Wat kan er misgaan?</x:v>
      </x:c>
      <x:c r="F7" s="2"/>
      <x:c r="G7" s="2" t="str">
        <x:v>Fundament, actueel website-overzicht</x:v>
      </x:c>
    </x:row>
    <x:row r="8" ht="54" customHeight="1">
      <x:c r="A8" s="21" t="n">
        <x:v>1</x:v>
      </x:c>
      <x:c r="B8" s="22" t="str">
        <x:v>Lessen &amp; clinics</x:v>
      </x:c>
      <x:c r="C8" s="22" t="str">
        <x:v>B3</x:v>
      </x:c>
      <x:c r="D8" s="36" t="n">
        <x:v>1.5</x:v>
      </x:c>
      <x:c r="E8" s="22" t="str">
        <x:v>Security-principes</x:v>
      </x:c>
      <x:c r="F8" s="2"/>
      <x:c r="G8" s="2" t="str">
        <x:v>Fundament, actueel website-overzicht</x:v>
      </x:c>
    </x:row>
    <x:row r="9" ht="54" customHeight="1">
      <x:c r="A9" s="21" t="n">
        <x:v>1</x:v>
      </x:c>
      <x:c r="B9" s="22" t="str">
        <x:v>Lessen &amp; clinics</x:v>
      </x:c>
      <x:c r="C9" s="22" t="str">
        <x:v>B4</x:v>
      </x:c>
      <x:c r="D9" s="36" t="n">
        <x:v>1.5</x:v>
      </x:c>
      <x:c r="E9" s="22" t="str">
        <x:v>Gedrag en securitycultuur</x:v>
      </x:c>
      <x:c r="F9" s="2"/>
      <x:c r="G9" s="2" t="str">
        <x:v>Fundament, actueel website-overzicht</x:v>
      </x:c>
    </x:row>
    <x:row r="10" ht="54" customHeight="1">
      <x:c r="A10" s="21" t="n">
        <x:v>1</x:v>
      </x:c>
      <x:c r="B10" s="22" t="str">
        <x:v>Lessen &amp; clinics</x:v>
      </x:c>
      <x:c r="C10" s="22" t="str">
        <x:v>B5</x:v>
      </x:c>
      <x:c r="D10" s="36" t="n">
        <x:v>1.5</x:v>
      </x:c>
      <x:c r="E10" s="22" t="str">
        <x:v>Stakeholders en belangen</x:v>
      </x:c>
      <x:c r="F10" s="2"/>
      <x:c r="G10" s="2" t="str">
        <x:v>Fundament, actueel website-overzicht</x:v>
      </x:c>
    </x:row>
    <x:row r="11" ht="54" customHeight="1">
      <x:c r="A11" s="21" t="n">
        <x:v>1</x:v>
      </x:c>
      <x:c r="B11" s="22" t="str">
        <x:v>Lessen &amp; clinics</x:v>
      </x:c>
      <x:c r="C11" s="22" t="str">
        <x:v>B6</x:v>
      </x:c>
      <x:c r="D11" s="36" t="n">
        <x:v>1.5</x:v>
      </x:c>
      <x:c r="E11" s="22" t="str">
        <x:v>Assets en abuse cases</x:v>
      </x:c>
      <x:c r="F11" s="2"/>
      <x:c r="G11" s="2" t="str">
        <x:v>Fundament, actueel website-overzicht</x:v>
      </x:c>
    </x:row>
    <x:row r="12" ht="54" customHeight="1">
      <x:c r="A12" s="21" t="n">
        <x:v>1</x:v>
      </x:c>
      <x:c r="B12" s="22" t="str">
        <x:v>Lessen &amp; clinics</x:v>
      </x:c>
      <x:c r="C12" s="22" t="str">
        <x:v>B7</x:v>
      </x:c>
      <x:c r="D12" s="36" t="n">
        <x:v>1.5</x:v>
      </x:c>
      <x:c r="E12" s="22" t="str">
        <x:v>Weekopbrengst en contextpitches</x:v>
      </x:c>
      <x:c r="F12" s="2"/>
      <x:c r="G12" s="2" t="str">
        <x:v>Fundament, actueel website-overzicht</x:v>
      </x:c>
    </x:row>
    <x:row r="13" ht="54" customHeight="1">
      <x:c r="A13" s="21" t="n">
        <x:v>1</x:v>
      </x:c>
      <x:c r="B13" s="22" t="str">
        <x:v>Lessen &amp; clinics</x:v>
      </x:c>
      <x:c r="C13" s="22" t="str">
        <x:v>B8</x:v>
      </x:c>
      <x:c r="D13" s="36" t="n">
        <x:v>1.5</x:v>
      </x:c>
      <x:c r="E13" s="22" t="str">
        <x:v>Security bingo en dilemma’s</x:v>
      </x:c>
      <x:c r="F13" s="2"/>
      <x:c r="G13" s="2" t="str">
        <x:v>Fundament, actueel website-overzicht</x:v>
      </x:c>
    </x:row>
    <x:row r="14" ht="54" customHeight="1">
      <x:c r="A14" s="21" t="n">
        <x:v>1</x:v>
      </x:c>
      <x:c r="B14" s="22" t="str">
        <x:v>Lessen &amp; clinics</x:v>
      </x:c>
      <x:c r="C14" s="22" t="str">
        <x:v>B9</x:v>
      </x:c>
      <x:c r="D14" s="36" t="n">
        <x:v>1.5</x:v>
      </x:c>
      <x:c r="E14" s="22" t="str">
        <x:v>Security-contextcanvas</x:v>
      </x:c>
      <x:c r="F14" s="2"/>
      <x:c r="G14" s="2" t="str">
        <x:v>Fundament, actueel website-overzicht</x:v>
      </x:c>
    </x:row>
    <x:row r="15" ht="54" customHeight="1">
      <x:c r="A15" s="21" t="n">
        <x:v>2</x:v>
      </x:c>
      <x:c r="B15" s="22" t="str">
        <x:v>Lessen &amp; clinics</x:v>
      </x:c>
      <x:c r="C15" s="22" t="str">
        <x:v>B1</x:v>
      </x:c>
      <x:c r="D15" s="36" t="n">
        <x:v>1.5</x:v>
      </x:c>
      <x:c r="E15" s="22" t="str">
        <x:v>Aanvallersdenken</x:v>
      </x:c>
      <x:c r="F15" s="2"/>
      <x:c r="G15" s="2" t="str">
        <x:v>Fundament, actueel website-overzicht</x:v>
      </x:c>
    </x:row>
    <x:row r="16" ht="54" customHeight="1">
      <x:c r="A16" s="21" t="n">
        <x:v>2</x:v>
      </x:c>
      <x:c r="B16" s="22" t="str">
        <x:v>Lessen &amp; clinics</x:v>
      </x:c>
      <x:c r="C16" s="22" t="str">
        <x:v>B2</x:v>
      </x:c>
      <x:c r="D16" s="36" t="n">
        <x:v>1.5</x:v>
      </x:c>
      <x:c r="E16" s="22" t="str">
        <x:v>Digitale en organisatorische dreigingen</x:v>
      </x:c>
      <x:c r="F16" s="2"/>
      <x:c r="G16" s="2" t="str">
        <x:v>Fundament, actueel website-overzicht</x:v>
      </x:c>
    </x:row>
    <x:row r="17" ht="54" customHeight="1">
      <x:c r="A17" s="21" t="n">
        <x:v>2</x:v>
      </x:c>
      <x:c r="B17" s="22" t="str">
        <x:v>Lessen &amp; clinics</x:v>
      </x:c>
      <x:c r="C17" s="22" t="str">
        <x:v>B3</x:v>
      </x:c>
      <x:c r="D17" s="36" t="n">
        <x:v>1.5</x:v>
      </x:c>
      <x:c r="E17" s="22" t="str">
        <x:v>Incidentanalyse: falend ontwerp</x:v>
      </x:c>
      <x:c r="F17" s="2"/>
      <x:c r="G17" s="2" t="str">
        <x:v>Fundament, actueel website-overzicht</x:v>
      </x:c>
    </x:row>
    <x:row r="18" ht="54" customHeight="1">
      <x:c r="A18" s="21" t="n">
        <x:v>2</x:v>
      </x:c>
      <x:c r="B18" s="22" t="str">
        <x:v>Lessen &amp; clinics</x:v>
      </x:c>
      <x:c r="C18" s="22" t="str">
        <x:v>B4</x:v>
      </x:c>
      <x:c r="D18" s="36" t="n">
        <x:v>1.5</x:v>
      </x:c>
      <x:c r="E18" s="22" t="str">
        <x:v>OWASP / MITRE als ordeningstaal</x:v>
      </x:c>
      <x:c r="F18" s="2"/>
      <x:c r="G18" s="2" t="str">
        <x:v>Fundament, actueel website-overzicht</x:v>
      </x:c>
    </x:row>
    <x:row r="19" ht="54" customHeight="1">
      <x:c r="A19" s="21" t="n">
        <x:v>2</x:v>
      </x:c>
      <x:c r="B19" s="22" t="str">
        <x:v>Lessen &amp; clinics</x:v>
      </x:c>
      <x:c r="C19" s="22" t="str">
        <x:v>B5</x:v>
      </x:c>
      <x:c r="D19" s="36" t="n">
        <x:v>1.5</x:v>
      </x:c>
      <x:c r="E19" s="22" t="str">
        <x:v>Risico: kans, impact, prioriteit</x:v>
      </x:c>
      <x:c r="F19" s="2"/>
      <x:c r="G19" s="2" t="str">
        <x:v>Fundament, actueel website-overzicht</x:v>
      </x:c>
    </x:row>
    <x:row r="20" ht="54" customHeight="1">
      <x:c r="A20" s="21" t="n">
        <x:v>2</x:v>
      </x:c>
      <x:c r="B20" s="22" t="str">
        <x:v>Lessen &amp; clinics</x:v>
      </x:c>
      <x:c r="C20" s="22" t="str">
        <x:v>B6</x:v>
      </x:c>
      <x:c r="D20" s="36" t="n">
        <x:v>1.5</x:v>
      </x:c>
      <x:c r="E20" s="22" t="str">
        <x:v>Eerste ontwerpmaatregelen</x:v>
      </x:c>
      <x:c r="F20" s="2"/>
      <x:c r="G20" s="2" t="str">
        <x:v>Fundament, actueel website-overzicht</x:v>
      </x:c>
    </x:row>
    <x:row r="21" ht="54" customHeight="1">
      <x:c r="A21" s="21" t="n">
        <x:v>2</x:v>
      </x:c>
      <x:c r="B21" s="22" t="str">
        <x:v>Lessen &amp; clinics</x:v>
      </x:c>
      <x:c r="C21" s="22" t="str">
        <x:v>B7</x:v>
      </x:c>
      <x:c r="D21" s="36" t="n">
        <x:v>1.5</x:v>
      </x:c>
      <x:c r="E21" s="22" t="str">
        <x:v>Monitoring en detectie</x:v>
      </x:c>
      <x:c r="F21" s="2"/>
      <x:c r="G21" s="2" t="str">
        <x:v>Fundament, actueel website-overzicht</x:v>
      </x:c>
    </x:row>
    <x:row r="22" ht="54" customHeight="1">
      <x:c r="A22" s="21" t="n">
        <x:v>2</x:v>
      </x:c>
      <x:c r="B22" s="22" t="str">
        <x:v>Lessen &amp; clinics</x:v>
      </x:c>
      <x:c r="C22" s="22" t="str">
        <x:v>B8</x:v>
      </x:c>
      <x:c r="D22" s="36" t="n">
        <x:v>1.5</x:v>
      </x:c>
      <x:c r="E22" s="22" t="str">
        <x:v>Dreigingenkaartspel / attack-tree challenge</x:v>
      </x:c>
      <x:c r="F22" s="2"/>
      <x:c r="G22" s="2" t="str">
        <x:v>Fundament, actueel website-overzicht</x:v>
      </x:c>
    </x:row>
    <x:row r="23" ht="54" customHeight="1">
      <x:c r="A23" s="21" t="n">
        <x:v>2</x:v>
      </x:c>
      <x:c r="B23" s="22" t="str">
        <x:v>Lessen &amp; clinics</x:v>
      </x:c>
      <x:c r="C23" s="22" t="str">
        <x:v>B9</x:v>
      </x:c>
      <x:c r="D23" s="36" t="n">
        <x:v>1.5</x:v>
      </x:c>
      <x:c r="E23" s="22" t="str">
        <x:v>Risicoprofiel en maatregelen</x:v>
      </x:c>
      <x:c r="F23" s="2"/>
      <x:c r="G23" s="2" t="str">
        <x:v>Fundament, actueel website-overzicht</x:v>
      </x:c>
    </x:row>
    <x:row r="24" ht="54" customHeight="1">
      <x:c r="A24" s="21" t="n">
        <x:v>3</x:v>
      </x:c>
      <x:c r="B24" s="22" t="str">
        <x:v>Lessen &amp; clinics</x:v>
      </x:c>
      <x:c r="C24" s="22" t="str">
        <x:v>B1</x:v>
      </x:c>
      <x:c r="D24" s="36" t="n">
        <x:v>1.5</x:v>
      </x:c>
      <x:c r="E24" s="22" t="str">
        <x:v>Rollen en eigenaarschap</x:v>
      </x:c>
      <x:c r="F24" s="2"/>
      <x:c r="G24" s="2" t="str">
        <x:v>Fundament, actueel website-overzicht</x:v>
      </x:c>
    </x:row>
    <x:row r="25" ht="54" customHeight="1">
      <x:c r="A25" s="21" t="n">
        <x:v>3</x:v>
      </x:c>
      <x:c r="B25" s="22" t="str">
        <x:v>Lessen &amp; clinics</x:v>
      </x:c>
      <x:c r="C25" s="22" t="str">
        <x:v>B2</x:v>
      </x:c>
      <x:c r="D25" s="36" t="n">
        <x:v>1.5</x:v>
      </x:c>
      <x:c r="E25" s="22" t="str">
        <x:v>Compliance versus security</x:v>
      </x:c>
      <x:c r="F25" s="2"/>
      <x:c r="G25" s="2" t="str">
        <x:v>Fundament, actueel website-overzicht</x:v>
      </x:c>
    </x:row>
    <x:row r="26" ht="54" customHeight="1">
      <x:c r="A26" s="21" t="n">
        <x:v>3</x:v>
      </x:c>
      <x:c r="B26" s="22" t="str">
        <x:v>Lessen &amp; clinics</x:v>
      </x:c>
      <x:c r="C26" s="22" t="str">
        <x:v>B3</x:v>
      </x:c>
      <x:c r="D26" s="36" t="n">
        <x:v>1.5</x:v>
      </x:c>
      <x:c r="E26" s="22" t="str">
        <x:v>ISO 27001 en verbeteren</x:v>
      </x:c>
      <x:c r="F26" s="2"/>
      <x:c r="G26" s="2" t="str">
        <x:v>Fundament, actueel website-overzicht</x:v>
      </x:c>
    </x:row>
    <x:row r="27" ht="54" customHeight="1">
      <x:c r="A27" s="21" t="n">
        <x:v>3</x:v>
      </x:c>
      <x:c r="B27" s="22" t="str">
        <x:v>Lessen &amp; clinics</x:v>
      </x:c>
      <x:c r="C27" s="22" t="str">
        <x:v>B4</x:v>
      </x:c>
      <x:c r="D27" s="36" t="n">
        <x:v>1.5</x:v>
      </x:c>
      <x:c r="E27" s="22" t="str">
        <x:v>NIS2, AVG en CRA</x:v>
      </x:c>
      <x:c r="F27" s="2"/>
      <x:c r="G27" s="2" t="str">
        <x:v>Fundament, actueel website-overzicht</x:v>
      </x:c>
    </x:row>
    <x:row r="28" ht="54" customHeight="1">
      <x:c r="A28" s="21" t="n">
        <x:v>3</x:v>
      </x:c>
      <x:c r="B28" s="22" t="str">
        <x:v>Lessen &amp; clinics</x:v>
      </x:c>
      <x:c r="C28" s="22" t="str">
        <x:v>B5</x:v>
      </x:c>
      <x:c r="D28" s="36" t="n">
        <x:v>1.5</x:v>
      </x:c>
      <x:c r="E28" s="22" t="str">
        <x:v>Supply chain security</x:v>
      </x:c>
      <x:c r="F28" s="2"/>
      <x:c r="G28" s="2" t="str">
        <x:v>Fundament, actueel website-overzicht</x:v>
      </x:c>
    </x:row>
    <x:row r="29" ht="54" customHeight="1">
      <x:c r="A29" s="21" t="n">
        <x:v>3</x:v>
      </x:c>
      <x:c r="B29" s="22" t="str">
        <x:v>Lessen &amp; clinics</x:v>
      </x:c>
      <x:c r="C29" s="22" t="str">
        <x:v>B6</x:v>
      </x:c>
      <x:c r="D29" s="36" t="n">
        <x:v>1.5</x:v>
      </x:c>
      <x:c r="E29" s="22" t="str">
        <x:v>Organisatorische maatregelen</x:v>
      </x:c>
      <x:c r="F29" s="2"/>
      <x:c r="G29" s="2" t="str">
        <x:v>Fundament, actueel website-overzicht</x:v>
      </x:c>
    </x:row>
    <x:row r="30" ht="54" customHeight="1">
      <x:c r="A30" s="21" t="n">
        <x:v>3</x:v>
      </x:c>
      <x:c r="B30" s="22" t="str">
        <x:v>Lessen &amp; clinics</x:v>
      </x:c>
      <x:c r="C30" s="22" t="str">
        <x:v>B7</x:v>
      </x:c>
      <x:c r="D30" s="36" t="n">
        <x:v>1.5</x:v>
      </x:c>
      <x:c r="E30" s="22" t="str">
        <x:v>Incident response en communicatie</x:v>
      </x:c>
      <x:c r="F30" s="2"/>
      <x:c r="G30" s="2" t="str">
        <x:v>Fundament, actueel website-overzicht</x:v>
      </x:c>
    </x:row>
    <x:row r="31" ht="54" customHeight="1">
      <x:c r="A31" s="21" t="n">
        <x:v>3</x:v>
      </x:c>
      <x:c r="B31" s="22" t="str">
        <x:v>Lessen &amp; clinics</x:v>
      </x:c>
      <x:c r="C31" s="22" t="str">
        <x:v>B8</x:v>
      </x:c>
      <x:c r="D31" s="36" t="n">
        <x:v>1.5</x:v>
      </x:c>
      <x:c r="E31" s="22" t="str">
        <x:v>Backdoors &amp; Breaches</x:v>
      </x:c>
      <x:c r="F31" s="2"/>
      <x:c r="G31" s="2" t="str">
        <x:v>Fundament, actueel website-overzicht</x:v>
      </x:c>
    </x:row>
    <x:row r="32" ht="54" customHeight="1">
      <x:c r="A32" s="21" t="n">
        <x:v>3</x:v>
      </x:c>
      <x:c r="B32" s="22" t="str">
        <x:v>Lessen &amp; clinics</x:v>
      </x:c>
      <x:c r="C32" s="22" t="str">
        <x:v>B9</x:v>
      </x:c>
      <x:c r="D32" s="36" t="n">
        <x:v>1.5</x:v>
      </x:c>
      <x:c r="E32" s="22" t="str">
        <x:v>Governancekaart en responsafspraken</x:v>
      </x:c>
      <x:c r="F32" s="2"/>
      <x:c r="G32" s="2" t="str">
        <x:v>Fundament, actueel website-overzicht</x:v>
      </x:c>
    </x:row>
    <x:row r="33" ht="54" customHeight="1">
      <x:c r="A33" s="21" t="n">
        <x:v>4</x:v>
      </x:c>
      <x:c r="B33" s="22" t="str">
        <x:v>Lessen &amp; clinics</x:v>
      </x:c>
      <x:c r="C33" s="22" t="str">
        <x:v>B1</x:v>
      </x:c>
      <x:c r="D33" s="36" t="n">
        <x:v>1.5</x:v>
      </x:c>
      <x:c r="E33" s="22" t="str">
        <x:v>Security requirements</x:v>
      </x:c>
      <x:c r="F33" s="2"/>
      <x:c r="G33" s="2" t="str">
        <x:v>Fundament, actueel website-overzicht</x:v>
      </x:c>
    </x:row>
    <x:row r="34" ht="54" customHeight="1">
      <x:c r="A34" s="21" t="n">
        <x:v>4</x:v>
      </x:c>
      <x:c r="B34" s="22" t="str">
        <x:v>Lessen &amp; clinics</x:v>
      </x:c>
      <x:c r="C34" s="22" t="str">
        <x:v>B2</x:v>
      </x:c>
      <x:c r="D34" s="36" t="n">
        <x:v>1.5</x:v>
      </x:c>
      <x:c r="E34" s="22" t="str">
        <x:v>Maatregelen kiezen</x:v>
      </x:c>
      <x:c r="F34" s="2"/>
      <x:c r="G34" s="2" t="str">
        <x:v>Fundament, actueel website-overzicht</x:v>
      </x:c>
    </x:row>
    <x:row r="35" ht="54" customHeight="1">
      <x:c r="A35" s="21" t="n">
        <x:v>4</x:v>
      </x:c>
      <x:c r="B35" s="22" t="str">
        <x:v>Lessen &amp; clinics</x:v>
      </x:c>
      <x:c r="C35" s="22" t="str">
        <x:v>B3</x:v>
      </x:c>
      <x:c r="D35" s="36" t="n">
        <x:v>1.5</x:v>
      </x:c>
      <x:c r="E35" s="22" t="str">
        <x:v>Architectuur en ontwerpprincipes</x:v>
      </x:c>
      <x:c r="F35" s="2"/>
      <x:c r="G35" s="2" t="str">
        <x:v>Fundament, actueel website-overzicht</x:v>
      </x:c>
    </x:row>
    <x:row r="36" ht="54" customHeight="1">
      <x:c r="A36" s="21" t="n">
        <x:v>4</x:v>
      </x:c>
      <x:c r="B36" s="22" t="str">
        <x:v>Lessen &amp; clinics</x:v>
      </x:c>
      <x:c r="C36" s="22" t="str">
        <x:v>B4</x:v>
      </x:c>
      <x:c r="D36" s="36" t="n">
        <x:v>1.5</x:v>
      </x:c>
      <x:c r="E36" s="22" t="str">
        <x:v>Threat modelling</x:v>
      </x:c>
      <x:c r="F36" s="2"/>
      <x:c r="G36" s="2" t="str">
        <x:v>Fundament, actueel website-overzicht</x:v>
      </x:c>
    </x:row>
    <x:row r="37" ht="54" customHeight="1">
      <x:c r="A37" s="21" t="n">
        <x:v>4</x:v>
      </x:c>
      <x:c r="B37" s="22" t="str">
        <x:v>Lessen &amp; clinics</x:v>
      </x:c>
      <x:c r="C37" s="22" t="str">
        <x:v>B5</x:v>
      </x:c>
      <x:c r="D37" s="36" t="n">
        <x:v>1.5</x:v>
      </x:c>
      <x:c r="E37" s="22" t="str">
        <x:v>Van requirement naar ontwerpkeuze</x:v>
      </x:c>
      <x:c r="F37" s="2"/>
      <x:c r="G37" s="2" t="str">
        <x:v>Fundament, actueel website-overzicht</x:v>
      </x:c>
    </x:row>
    <x:row r="38" ht="54" customHeight="1">
      <x:c r="A38" s="21" t="n">
        <x:v>4</x:v>
      </x:c>
      <x:c r="B38" s="22" t="str">
        <x:v>Lessen &amp; clinics</x:v>
      </x:c>
      <x:c r="C38" s="22" t="str">
        <x:v>B6</x:v>
      </x:c>
      <x:c r="D38" s="36" t="n">
        <x:v>1.5</x:v>
      </x:c>
      <x:c r="E38" s="22" t="str">
        <x:v>Security in de lifecycle</x:v>
      </x:c>
      <x:c r="F38" s="2"/>
      <x:c r="G38" s="2" t="str">
        <x:v>Fundament, actueel website-overzicht</x:v>
      </x:c>
    </x:row>
    <x:row r="39" ht="54" customHeight="1">
      <x:c r="A39" s="21" t="n">
        <x:v>4</x:v>
      </x:c>
      <x:c r="B39" s="22" t="str">
        <x:v>Lessen &amp; clinics</x:v>
      </x:c>
      <x:c r="C39" s="22" t="str">
        <x:v>B7</x:v>
      </x:c>
      <x:c r="D39" s="36" t="n">
        <x:v>1.5</x:v>
      </x:c>
      <x:c r="E39" s="22" t="str">
        <x:v>Testen en valideren</x:v>
      </x:c>
      <x:c r="F39" s="2"/>
      <x:c r="G39" s="2" t="str">
        <x:v>Fundament, actueel website-overzicht</x:v>
      </x:c>
    </x:row>
    <x:row r="40" ht="54" customHeight="1">
      <x:c r="A40" s="21" t="n">
        <x:v>4</x:v>
      </x:c>
      <x:c r="B40" s="22" t="str">
        <x:v>Lessen &amp; clinics</x:v>
      </x:c>
      <x:c r="C40" s="22" t="str">
        <x:v>B8</x:v>
      </x:c>
      <x:c r="D40" s="36" t="n">
        <x:v>1.5</x:v>
      </x:c>
      <x:c r="E40" s="22" t="str">
        <x:v>Peerreviewcarrousel</x:v>
      </x:c>
      <x:c r="F40" s="2"/>
      <x:c r="G40" s="2" t="str">
        <x:v>Fundament, actueel website-overzicht</x:v>
      </x:c>
    </x:row>
    <x:row r="41" ht="54" customHeight="1">
      <x:c r="A41" s="21" t="n">
        <x:v>4</x:v>
      </x:c>
      <x:c r="B41" s="22" t="str">
        <x:v>Lessen &amp; clinics</x:v>
      </x:c>
      <x:c r="C41" s="22" t="str">
        <x:v>B9</x:v>
      </x:c>
      <x:c r="D41" s="36" t="n">
        <x:v>1.5</x:v>
      </x:c>
      <x:c r="E41" s="22" t="str">
        <x:v>Dossier en toetsvoorbereiding</x:v>
      </x:c>
      <x:c r="F41" s="2"/>
      <x:c r="G41" s="2" t="str">
        <x:v>Fundament, actueel website-overzicht</x:v>
      </x:c>
    </x:row>
    <x:row r="42" ht="54" customHeight="1">
      <x:c r="A42" s="21" t="n">
        <x:v>5</x:v>
      </x:c>
      <x:c r="B42" s="22" t="str">
        <x:v>Lessen &amp; clinics</x:v>
      </x:c>
      <x:c r="C42" s="22" t="str">
        <x:v>B1–3</x:v>
      </x:c>
      <x:c r="D42" s="36" t="n">
        <x:v>4.5</x:v>
      </x:c>
      <x:c r="E42" s="22" t="str">
        <x:v>Profielonderwerpen verkennen, een eerste onderzoeksvraag afbakenen en een intakegesprek oefenen.</x:v>
      </x:c>
      <x:c r="F42" s="2"/>
      <x:c r="G42" s="2" t="str">
        <x:v>Profiel, actueel website-overzicht</x:v>
      </x:c>
    </x:row>
    <x:row r="43" ht="54" customHeight="1">
      <x:c r="A43" s="21" t="n">
        <x:v>5</x:v>
      </x:c>
      <x:c r="B43" s="22" t="str">
        <x:v>Profielwerkplaats</x:v>
      </x:c>
      <x:c r="C43" s="22" t="str">
        <x:v>B4–6</x:v>
      </x:c>
      <x:c r="D43" s="36" t="n">
        <x:v>4.5</x:v>
      </x:c>
      <x:c r="E43" s="22" t="str">
        <x:v>Een eerste proef uitvoeren; bevindingen en persoonlijke leerdoelen vastleggen.</x:v>
      </x:c>
      <x:c r="F43" s="2"/>
      <x:c r="G43" s="2" t="str">
        <x:v>Profiel, actueel website-overzicht</x:v>
      </x:c>
    </x:row>
    <x:row r="44" ht="54" customHeight="1">
      <x:c r="A44" s="21" t="n">
        <x:v>5</x:v>
      </x:c>
      <x:c r="B44" s="22" t="str">
        <x:v>Bedrijfsproject</x:v>
      </x:c>
      <x:c r="C44" s="22" t="str">
        <x:v>B7–8</x:v>
      </x:c>
      <x:c r="D44" s="36" t="n">
        <x:v>3</x:v>
      </x:c>
      <x:c r="E44" s="22" t="str">
        <x:v>Team vormen, opdracht lezen en eerste bedrijfscontact voorbereiden.</x:v>
      </x:c>
      <x:c r="F44" s="2"/>
      <x:c r="G44" s="2" t="str">
        <x:v>Profiel, actueel website-overzicht</x:v>
      </x:c>
    </x:row>
    <x:row r="45" ht="54" customHeight="1">
      <x:c r="A45" s="21" t="n">
        <x:v>5</x:v>
      </x:c>
      <x:c r="B45" s="22" t="str">
        <x:v>Feedback &amp; kennis delen</x:v>
      </x:c>
      <x:c r="C45" s="22" t="str">
        <x:v>B9</x:v>
      </x:c>
      <x:c r="D45" s="36" t="n">
        <x:v>1.5</x:v>
      </x:c>
      <x:c r="E45" s="22" t="str">
        <x:v>Proef en intakevragen tonen; feedback ophalen en weekacties bepalen.</x:v>
      </x:c>
      <x:c r="F45" s="2"/>
      <x:c r="G45" s="2" t="str">
        <x:v>Profiel, actueel website-overzicht</x:v>
      </x:c>
    </x:row>
    <x:row r="46" ht="54" customHeight="1">
      <x:c r="A46" s="21" t="n">
        <x:v>6</x:v>
      </x:c>
      <x:c r="B46" s="22" t="str">
        <x:v>Lessen &amp; clinics</x:v>
      </x:c>
      <x:c r="C46" s="22" t="str">
        <x:v>B1–3</x:v>
      </x:c>
      <x:c r="D46" s="36" t="n">
        <x:v>4.5</x:v>
      </x:c>
      <x:c r="E46" s="22" t="str">
        <x:v>Keuzeclinic volgen; profielkeuze, onderzoeksmethode, scope en succescriteria onderbouwen.</x:v>
      </x:c>
      <x:c r="F46" s="2"/>
      <x:c r="G46" s="2" t="str">
        <x:v>Profiel, actueel website-overzicht</x:v>
      </x:c>
    </x:row>
    <x:row r="47" ht="54" customHeight="1">
      <x:c r="A47" s="21" t="n">
        <x:v>6</x:v>
      </x:c>
      <x:c r="B47" s="22" t="str">
        <x:v>Profielwerkplaats</x:v>
      </x:c>
      <x:c r="C47" s="22" t="str">
        <x:v>B4–5</x:v>
      </x:c>
      <x:c r="D47" s="36" t="n">
        <x:v>3</x:v>
      </x:c>
      <x:c r="E47" s="22" t="str">
        <x:v>Profielonderzoek opzetten met benodigde bronnen en middelen.</x:v>
      </x:c>
      <x:c r="F47" s="2"/>
      <x:c r="G47" s="2" t="str">
        <x:v>Profiel, actueel website-overzicht</x:v>
      </x:c>
    </x:row>
    <x:row r="48" ht="54" customHeight="1">
      <x:c r="A48" s="21" t="n">
        <x:v>6</x:v>
      </x:c>
      <x:c r="B48" s="22" t="str">
        <x:v>Bedrijfsproject</x:v>
      </x:c>
      <x:c r="C48" s="22" t="str">
        <x:v>B6–8</x:v>
      </x:c>
      <x:c r="D48" s="36" t="n">
        <x:v>4.5</x:v>
      </x:c>
      <x:c r="E48" s="22" t="str">
        <x:v>Intake uitvoeren; probleembeeld, stakeholders, scope, toestemming en data-afspraken vastleggen.</x:v>
      </x:c>
      <x:c r="F48" s="2"/>
      <x:c r="G48" s="2" t="str">
        <x:v>Profiel, actueel website-overzicht</x:v>
      </x:c>
    </x:row>
    <x:row r="49" ht="54" customHeight="1">
      <x:c r="A49" s="21" t="n">
        <x:v>6</x:v>
      </x:c>
      <x:c r="B49" s="22" t="str">
        <x:v>Feedback &amp; kennis delen</x:v>
      </x:c>
      <x:c r="C49" s="22" t="str">
        <x:v>B9</x:v>
      </x:c>
      <x:c r="D49" s="36" t="n">
        <x:v>1.5</x:v>
      </x:c>
      <x:c r="E49" s="22" t="str">
        <x:v>Onderzoeksplan en intakebevindingen bespreken; feiten, aannames en open vragen onderscheiden.</x:v>
      </x:c>
      <x:c r="F49" s="2"/>
      <x:c r="G49" s="2" t="str">
        <x:v>Profiel, actueel website-overzicht</x:v>
      </x:c>
    </x:row>
    <x:row r="50" ht="54" customHeight="1">
      <x:c r="A50" s="21" t="n">
        <x:v>7</x:v>
      </x:c>
      <x:c r="B50" s="22" t="str">
        <x:v>Lessen &amp; clinics</x:v>
      </x:c>
      <x:c r="C50" s="22" t="str">
        <x:v>B1–2</x:v>
      </x:c>
      <x:c r="D50" s="36" t="n">
        <x:v>3</x:v>
      </x:c>
      <x:c r="E50" s="22" t="str">
        <x:v>Gerichte clinic volgen en bronnen of onderzoeksmethoden vergelijken.</x:v>
      </x:c>
      <x:c r="F50" s="2"/>
      <x:c r="G50" s="2" t="str">
        <x:v>Profiel, actueel website-overzicht</x:v>
      </x:c>
    </x:row>
    <x:row r="51" ht="54" customHeight="1">
      <x:c r="A51" s="21" t="n">
        <x:v>7</x:v>
      </x:c>
      <x:c r="B51" s="22" t="str">
        <x:v>Profielwerkplaats</x:v>
      </x:c>
      <x:c r="C51" s="22" t="str">
        <x:v>B3–5</x:v>
      </x:c>
      <x:c r="D51" s="36" t="n">
        <x:v>4.5</x:v>
      </x:c>
      <x:c r="E51" s="22" t="str">
        <x:v>Eerste gegevens verzamelen en analyseren of een proef bouwen; werkwijze en bewijs vastleggen.</x:v>
      </x:c>
      <x:c r="F51" s="2"/>
      <x:c r="G51" s="2" t="str">
        <x:v>Profiel, actueel website-overzicht</x:v>
      </x:c>
    </x:row>
    <x:row r="52" ht="54" customHeight="1">
      <x:c r="A52" s="21" t="n">
        <x:v>7</x:v>
      </x:c>
      <x:c r="B52" s="22" t="str">
        <x:v>Bedrijfsproject</x:v>
      </x:c>
      <x:c r="C52" s="22" t="str">
        <x:v>B6–8</x:v>
      </x:c>
      <x:c r="D52" s="36" t="n">
        <x:v>4.5</x:v>
      </x:c>
      <x:c r="E52" s="22" t="str">
        <x:v>Concept-plan van aanpak uitwerken en eerste projectonderzoek uitvoeren.</x:v>
      </x:c>
      <x:c r="F52" s="2"/>
      <x:c r="G52" s="2" t="str">
        <x:v>Profiel, actueel website-overzicht</x:v>
      </x:c>
    </x:row>
    <x:row r="53" ht="54" customHeight="1">
      <x:c r="A53" s="21" t="n">
        <x:v>7</x:v>
      </x:c>
      <x:c r="B53" s="22" t="str">
        <x:v>Feedback &amp; kennis delen</x:v>
      </x:c>
      <x:c r="C53" s="22" t="str">
        <x:v>B9</x:v>
      </x:c>
      <x:c r="D53" s="36" t="n">
        <x:v>1.5</x:v>
      </x:c>
      <x:c r="E53" s="22" t="str">
        <x:v>Een inzicht kort uitleggen of een mini-oefening begeleiden; projectvoortgang bespreken.</x:v>
      </x:c>
      <x:c r="F53" s="2"/>
      <x:c r="G53" s="2" t="str">
        <x:v>Profiel, actueel website-overzicht</x:v>
      </x:c>
    </x:row>
    <x:row r="54" ht="54" customHeight="1">
      <x:c r="A54" s="21" t="n">
        <x:v>8</x:v>
      </x:c>
      <x:c r="B54" s="22" t="str">
        <x:v>Lessen &amp; clinics</x:v>
      </x:c>
      <x:c r="C54" s="22" t="str">
        <x:v>B1–2</x:v>
      </x:c>
      <x:c r="D54" s="36" t="n">
        <x:v>3</x:v>
      </x:c>
      <x:c r="E54" s="22" t="str">
        <x:v>Verdieping en validatie: werkplaatsvragen behandelen en een test- of validatieplan maken.</x:v>
      </x:c>
      <x:c r="F54" s="2"/>
      <x:c r="G54" s="2" t="str">
        <x:v>Profiel, actueel website-overzicht</x:v>
      </x:c>
    </x:row>
    <x:row r="55" ht="54" customHeight="1">
      <x:c r="A55" s="21" t="n">
        <x:v>8</x:v>
      </x:c>
      <x:c r="B55" s="22" t="str">
        <x:v>Profielwerkplaats</x:v>
      </x:c>
      <x:c r="C55" s="22" t="str">
        <x:v>B3–4</x:v>
      </x:c>
      <x:c r="D55" s="36" t="n">
        <x:v>3</x:v>
      </x:c>
      <x:c r="E55" s="22" t="str">
        <x:v>Eerste profielresultaat toetsen; beperkingen bespreken en onderzoek bijstellen.</x:v>
      </x:c>
      <x:c r="F55" s="2"/>
      <x:c r="G55" s="2" t="str">
        <x:v>Profiel, actueel website-overzicht</x:v>
      </x:c>
    </x:row>
    <x:row r="56" ht="54" customHeight="1">
      <x:c r="A56" s="21" t="n">
        <x:v>8</x:v>
      </x:c>
      <x:c r="B56" s="22" t="str">
        <x:v>Bedrijfsproject</x:v>
      </x:c>
      <x:c r="C56" s="22" t="str">
        <x:v>B5–8</x:v>
      </x:c>
      <x:c r="D56" s="36" t="n">
        <x:v>6</x:v>
      </x:c>
      <x:c r="E56" s="22" t="str">
        <x:v>Bevindingen en vervolgrichting met het bedrijf beproeven; scope en plan bijwerken.</x:v>
      </x:c>
      <x:c r="F56" s="2"/>
      <x:c r="G56" s="2" t="str">
        <x:v>Profiel, actueel website-overzicht</x:v>
      </x:c>
    </x:row>
    <x:row r="57" ht="54" customHeight="1">
      <x:c r="A57" s="21" t="n">
        <x:v>8</x:v>
      </x:c>
      <x:c r="B57" s="22" t="str">
        <x:v>Feedback &amp; kennis delen</x:v>
      </x:c>
      <x:c r="C57" s="22" t="str">
        <x:v>B9</x:v>
      </x:c>
      <x:c r="D57" s="36" t="n">
        <x:v>1.5</x:v>
      </x:c>
      <x:c r="E57" s="22" t="str">
        <x:v>Resultaat tonen en een ander een korte oefening laten uitvoeren; verbeterpunten ophalen.</x:v>
      </x:c>
      <x:c r="F57" s="2"/>
      <x:c r="G57" s="2" t="str">
        <x:v>Profiel, actueel website-overzicht</x:v>
      </x:c>
    </x:row>
    <x:row r="58" ht="54" customHeight="1">
      <x:c r="A58" s="21" t="n">
        <x:v>9</x:v>
      </x:c>
      <x:c r="B58" s="22" t="str">
        <x:v>Lessen &amp; clinics</x:v>
      </x:c>
      <x:c r="C58" s="22" t="str">
        <x:v>B1</x:v>
      </x:c>
      <x:c r="D58" s="36" t="n">
        <x:v>1.5</x:v>
      </x:c>
      <x:c r="E58" s="22" t="str">
        <x:v>Clinic rond een gedeeld inhoudelijk knelpunt.</x:v>
      </x:c>
      <x:c r="F58" s="2"/>
      <x:c r="G58" s="2" t="str">
        <x:v>Profiel, actueel website-overzicht</x:v>
      </x:c>
    </x:row>
    <x:row r="59" ht="54" customHeight="1">
      <x:c r="A59" s="21" t="n">
        <x:v>9</x:v>
      </x:c>
      <x:c r="B59" s="22" t="str">
        <x:v>Profielwerkplaats</x:v>
      </x:c>
      <x:c r="C59" s="22" t="str">
        <x:v>B2–3</x:v>
      </x:c>
      <x:c r="D59" s="36" t="n">
        <x:v>3</x:v>
      </x:c>
      <x:c r="E59" s="22" t="str">
        <x:v>Profielvraag verdiepen en inzichten vertalen naar een hulpmiddel, richtlijn of demonstratie voor het team.</x:v>
      </x:c>
      <x:c r="F59" s="2"/>
      <x:c r="G59" s="2" t="str">
        <x:v>Profiel, actueel website-overzicht</x:v>
      </x:c>
    </x:row>
    <x:row r="60" ht="54" customHeight="1">
      <x:c r="A60" s="21" t="n">
        <x:v>9</x:v>
      </x:c>
      <x:c r="B60" s="22" t="str">
        <x:v>Bedrijfsproject</x:v>
      </x:c>
      <x:c r="C60" s="22" t="str">
        <x:v>B4–8</x:v>
      </x:c>
      <x:c r="D60" s="36" t="n">
        <x:v>7.5</x:v>
      </x:c>
      <x:c r="E60" s="22" t="str">
        <x:v>Onderzoeken, ontwikkelen of testen; relevante profielkennis verbinden aan projectbesluiten.</x:v>
      </x:c>
      <x:c r="F60" s="2"/>
      <x:c r="G60" s="2" t="str">
        <x:v>Profiel, actueel website-overzicht</x:v>
      </x:c>
    </x:row>
    <x:row r="61" ht="54" customHeight="1">
      <x:c r="A61" s="21" t="n">
        <x:v>9</x:v>
      </x:c>
      <x:c r="B61" s="22" t="str">
        <x:v>Feedback &amp; kennis delen</x:v>
      </x:c>
      <x:c r="C61" s="22" t="str">
        <x:v>B9</x:v>
      </x:c>
      <x:c r="D61" s="36" t="n">
        <x:v>1.5</x:v>
      </x:c>
      <x:c r="E61" s="22" t="str">
        <x:v>Kennisbijdrage laten uitproberen en projectkeuzes bespreken; acties bijwerken.</x:v>
      </x:c>
      <x:c r="F61" s="2"/>
      <x:c r="G61" s="2" t="str">
        <x:v>Profiel, actueel website-overzicht</x:v>
      </x:c>
    </x:row>
    <x:row r="62" ht="54" customHeight="1">
      <x:c r="A62" s="21" t="n">
        <x:v>10</x:v>
      </x:c>
      <x:c r="B62" s="22" t="str">
        <x:v>Lessen &amp; clinics</x:v>
      </x:c>
      <x:c r="C62" s="22" t="str">
        <x:v>B1</x:v>
      </x:c>
      <x:c r="D62" s="36" t="n">
        <x:v>1.5</x:v>
      </x:c>
      <x:c r="E62" s="22" t="str">
        <x:v>Resultaten, conclusies, onzekerheden en beperkingen leren uitleggen.</x:v>
      </x:c>
      <x:c r="F62" s="2"/>
      <x:c r="G62" s="2" t="str">
        <x:v>Profiel, actueel website-overzicht</x:v>
      </x:c>
    </x:row>
    <x:row r="63" ht="54" customHeight="1">
      <x:c r="A63" s="21" t="n">
        <x:v>10</x:v>
      </x:c>
      <x:c r="B63" s="22" t="str">
        <x:v>Profielwerkplaats</x:v>
      </x:c>
      <x:c r="C63" s="22" t="str">
        <x:v>B2–3</x:v>
      </x:c>
      <x:c r="D63" s="36" t="n">
        <x:v>3</x:v>
      </x:c>
      <x:c r="E63" s="22" t="str">
        <x:v>Profieltussenreview: eerste onderzoeksresultaat, reflectie en vervolgplan richting week 19.</x:v>
      </x:c>
      <x:c r="F63" s="2"/>
      <x:c r="G63" s="2" t="str">
        <x:v>Profiel, actueel website-overzicht</x:v>
      </x:c>
    </x:row>
    <x:row r="64" ht="54" customHeight="1">
      <x:c r="A64" s="21" t="n">
        <x:v>10</x:v>
      </x:c>
      <x:c r="B64" s="22" t="str">
        <x:v>Bedrijfsproject</x:v>
      </x:c>
      <x:c r="C64" s="22" t="str">
        <x:v>B4–8</x:v>
      </x:c>
      <x:c r="D64" s="36" t="n">
        <x:v>7.5</x:v>
      </x:c>
      <x:c r="E64" s="22" t="str">
        <x:v>Projecttussenbalans: eerste resultaten en opdrachtgeverfeedback beoordelen; volgende periode en Business Understanding voorbereiden.</x:v>
      </x:c>
      <x:c r="F64" s="2"/>
      <x:c r="G64" s="2" t="str">
        <x:v>Profiel, actueel website-overzicht</x:v>
      </x:c>
    </x:row>
    <x:row r="65" ht="54" customHeight="1">
      <x:c r="A65" s="21" t="n">
        <x:v>10</x:v>
      </x:c>
      <x:c r="B65" s="22" t="str">
        <x:v>Feedback &amp; kennis delen</x:v>
      </x:c>
      <x:c r="C65" s="22" t="str">
        <x:v>B9</x:v>
      </x:c>
      <x:c r="D65" s="36" t="n">
        <x:v>1.5</x:v>
      </x:c>
      <x:c r="E65" s="22" t="str">
        <x:v>Zichtbaar werk, verdiepingsvragen en planning bespreken; vervolgafspraken maken.</x:v>
      </x:c>
      <x:c r="F65" s="2"/>
      <x:c r="G65" s="2" t="str">
        <x:v>Profiel, actueel website-overzicht</x:v>
      </x:c>
    </x:row>
    <x:row r="66" ht="54" customHeight="1">
      <x:c r="A66" s="21" t="n">
        <x:v>11</x:v>
      </x:c>
      <x:c r="B66" s="22" t="str">
        <x:v>Lessen &amp; clinics</x:v>
      </x:c>
      <x:c r="C66" s="22" t="str">
        <x:v>Onderwijsdag</x:v>
      </x:c>
      <x:c r="D66" s="36" t="n">
        <x:v>3.5</x:v>
      </x:c>
      <x:c r="E66" s="22" t="str">
        <x:v>Business Understanding: bedrijfscontext, probleem, waarde, bewijs, aannames en open vragen presenteren. 13:00–16:30: 3,5 uur, inclusief 15 minuten pauze</x:v>
      </x:c>
      <x:c r="F66" s="2"/>
      <x:c r="G66" s="2" t="str">
        <x:v>Project + concept-OPF v0.2</x:v>
      </x:c>
    </x:row>
    <x:row r="67" ht="54" customHeight="1">
      <x:c r="A67" s="21" t="n">
        <x:v>11</x:v>
      </x:c>
      <x:c r="B67" s="22" t="str">
        <x:v>Bedrijfsproject</x:v>
      </x:c>
      <x:c r="C67" s="22" t="str">
        <x:v>4 projectdagen</x:v>
      </x:c>
      <x:c r="D67" s="36" t="str">
        <x:v>n.t.b.</x:v>
      </x:c>
      <x:c r="E67" s="22" t="str">
        <x:v>Peerfeedback toetsen bij het bedrijf; scope en aanpak bijwerken</x:v>
      </x:c>
      <x:c r="F67" s="2"/>
      <x:c r="G67" s="2" t="str">
        <x:v>Project + concept-OPF v0.2</x:v>
      </x:c>
    </x:row>
    <x:row r="68" ht="54" customHeight="1">
      <x:c r="A68" s="21" t="n">
        <x:v>11</x:v>
      </x:c>
      <x:c r="B68" s="22" t="str">
        <x:v>Profielwerkplaats</x:v>
      </x:c>
      <x:c r="C68" s="22" t="str">
        <x:v>Doorlopend</x:v>
      </x:c>
      <x:c r="D68" s="36" t="str">
        <x:v>n.t.b.</x:v>
      </x:c>
      <x:c r="E68" s="22" t="str">
        <x:v>Profielverdieping en portfolio lopen door. Afzonderlijke uren zijn niet vastgelegd.</x:v>
      </x:c>
      <x:c r="F68" s="2"/>
      <x:c r="G68" s="2" t="str">
        <x:v>Project + concept-OPF v0.2</x:v>
      </x:c>
    </x:row>
    <x:row r="69" ht="54" customHeight="1">
      <x:c r="A69" s="21" t="n">
        <x:v>11</x:v>
      </x:c>
      <x:c r="B69" s="22" t="str">
        <x:v>Feedback &amp; kennis delen</x:v>
      </x:c>
      <x:c r="C69" s="22" t="str">
        <x:v>Tutorcontact</x:v>
      </x:c>
      <x:c r="D69" s="36" t="n">
        <x:v>1</x:v>
      </x:c>
      <x:c r="E69" s="22" t="str">
        <x:v>Regulier tutorcontact; opdrachtbeeld en vervolgvragen bespreken. Duur volgens concept-OPF.</x:v>
      </x:c>
      <x:c r="F69" s="2"/>
      <x:c r="G69" s="2" t="str">
        <x:v>Project + concept-OPF v0.2</x:v>
      </x:c>
    </x:row>
    <x:row r="70" ht="54" customHeight="1">
      <x:c r="A70" s="21" t="n">
        <x:v>12</x:v>
      </x:c>
      <x:c r="B70" s="22" t="str">
        <x:v>Lessen &amp; clinics</x:v>
      </x:c>
      <x:c r="C70" s="22" t="str">
        <x:v>Onderwijsdag</x:v>
      </x:c>
      <x:c r="D70" s="36" t="n">
        <x:v>1.5</x:v>
      </x:c>
      <x:c r="E70" s="22" t="str">
        <x:v>Werkatelier bewijs &amp; validatie. 1,5 uur volgens concept-OPF</x:v>
      </x:c>
      <x:c r="F70" s="2"/>
      <x:c r="G70" s="2" t="str">
        <x:v>Project + concept-OPF v0.2</x:v>
      </x:c>
    </x:row>
    <x:row r="71" ht="54" customHeight="1">
      <x:c r="A71" s="21" t="n">
        <x:v>12</x:v>
      </x:c>
      <x:c r="B71" s="22" t="str">
        <x:v>Bedrijfsproject</x:v>
      </x:c>
      <x:c r="C71" s="22" t="str">
        <x:v>4 projectdagen</x:v>
      </x:c>
      <x:c r="D71" s="36" t="str">
        <x:v>n.t.b.</x:v>
      </x:c>
      <x:c r="E71" s="22" t="str">
        <x:v>Onderzoeken, bouwen of testen; bewijs verzamelen volgens validatieplan</x:v>
      </x:c>
      <x:c r="F71" s="2"/>
      <x:c r="G71" s="2" t="str">
        <x:v>Project + concept-OPF v0.2</x:v>
      </x:c>
    </x:row>
    <x:row r="72" ht="54" customHeight="1">
      <x:c r="A72" s="21" t="n">
        <x:v>12</x:v>
      </x:c>
      <x:c r="B72" s="22" t="str">
        <x:v>Profielwerkplaats</x:v>
      </x:c>
      <x:c r="C72" s="22" t="str">
        <x:v>Doorlopend</x:v>
      </x:c>
      <x:c r="D72" s="36" t="str">
        <x:v>n.t.b.</x:v>
      </x:c>
      <x:c r="E72" s="22" t="str">
        <x:v>Profielverdieping en portfolio lopen door. Afzonderlijke uren zijn niet vastgelegd.</x:v>
      </x:c>
      <x:c r="F72" s="2"/>
      <x:c r="G72" s="2" t="str">
        <x:v>Project + concept-OPF v0.2</x:v>
      </x:c>
    </x:row>
    <x:row r="73" ht="54" customHeight="1">
      <x:c r="A73" s="21" t="n">
        <x:v>12</x:v>
      </x:c>
      <x:c r="B73" s="22" t="str">
        <x:v>Feedback &amp; kennis delen</x:v>
      </x:c>
      <x:c r="C73" s="22" t="str">
        <x:v>Tutorcontact</x:v>
      </x:c>
      <x:c r="D73" s="36" t="n">
        <x:v>1</x:v>
      </x:c>
      <x:c r="E73" s="22" t="str">
        <x:v>Resultaten, bronkwaliteit, testcriteria en beperkingen bespreken. Duur volgens concept-OPF.</x:v>
      </x:c>
      <x:c r="F73" s="2"/>
      <x:c r="G73" s="2" t="str">
        <x:v>Project + concept-OPF v0.2</x:v>
      </x:c>
    </x:row>
    <x:row r="74" ht="54" customHeight="1">
      <x:c r="A74" s="21" t="n">
        <x:v>13</x:v>
      </x:c>
      <x:c r="B74" s="22" t="str">
        <x:v>Lessen &amp; clinics</x:v>
      </x:c>
      <x:c r="C74" s="22" t="str">
        <x:v>Onderwijsdag</x:v>
      </x:c>
      <x:c r="D74" s="36" t="n">
        <x:v>1.5</x:v>
      </x:c>
      <x:c r="E74" s="22" t="str">
        <x:v>Intervisie met praktijksituaties. 1,5 uur volgens concept-OPF</x:v>
      </x:c>
      <x:c r="F74" s="2"/>
      <x:c r="G74" s="2" t="str">
        <x:v>Project + concept-OPF v0.2</x:v>
      </x:c>
    </x:row>
    <x:row r="75" ht="54" customHeight="1">
      <x:c r="A75" s="21" t="n">
        <x:v>13</x:v>
      </x:c>
      <x:c r="B75" s="22" t="str">
        <x:v>Bedrijfsproject</x:v>
      </x:c>
      <x:c r="C75" s="22" t="str">
        <x:v>4 projectdagen</x:v>
      </x:c>
      <x:c r="D75" s="36" t="str">
        <x:v>n.t.b.</x:v>
      </x:c>
      <x:c r="E75" s="22" t="str">
        <x:v>Verder werken, wijzigingen afstemmen en midterm voorbereiden</x:v>
      </x:c>
      <x:c r="F75" s="2"/>
      <x:c r="G75" s="2" t="str">
        <x:v>Project + concept-OPF v0.2</x:v>
      </x:c>
    </x:row>
    <x:row r="76" ht="54" customHeight="1">
      <x:c r="A76" s="21" t="n">
        <x:v>13</x:v>
      </x:c>
      <x:c r="B76" s="22" t="str">
        <x:v>Profielwerkplaats</x:v>
      </x:c>
      <x:c r="C76" s="22" t="str">
        <x:v>Doorlopend</x:v>
      </x:c>
      <x:c r="D76" s="36" t="str">
        <x:v>n.t.b.</x:v>
      </x:c>
      <x:c r="E76" s="22" t="str">
        <x:v>Profielverdieping en portfolio lopen door. Afzonderlijke uren zijn niet vastgelegd.</x:v>
      </x:c>
      <x:c r="F76" s="2"/>
      <x:c r="G76" s="2" t="str">
        <x:v>Project + concept-OPF v0.2</x:v>
      </x:c>
    </x:row>
    <x:row r="77" ht="54" customHeight="1">
      <x:c r="A77" s="21" t="n">
        <x:v>13</x:v>
      </x:c>
      <x:c r="B77" s="22" t="str">
        <x:v>Feedback &amp; kennis delen</x:v>
      </x:c>
      <x:c r="C77" s="22" t="str">
        <x:v>Tutorcontact</x:v>
      </x:c>
      <x:c r="D77" s="36" t="n">
        <x:v>1</x:v>
      </x:c>
      <x:c r="E77" s="22" t="str">
        <x:v>Scope, afhankelijkheden en opdrachtgeverafstemming bespreken. Duur volgens concept-OPF.</x:v>
      </x:c>
      <x:c r="F77" s="2"/>
      <x:c r="G77" s="2" t="str">
        <x:v>Project + concept-OPF v0.2</x:v>
      </x:c>
    </x:row>
    <x:row r="78" ht="54" customHeight="1">
      <x:c r="A78" s="21" t="n">
        <x:v>14</x:v>
      </x:c>
      <x:c r="B78" s="22" t="str">
        <x:v>Lessen &amp; clinics</x:v>
      </x:c>
      <x:c r="C78" s="22" t="str">
        <x:v>Onderwijsdag</x:v>
      </x:c>
      <x:c r="D78" s="36" t="n">
        <x:v>3</x:v>
      </x:c>
      <x:c r="E78" s="22" t="str">
        <x:v>Midterm met opdrachtgeverfeedback. 3 uur programma volgens concept-OPF</x:v>
      </x:c>
      <x:c r="F78" s="2"/>
      <x:c r="G78" s="2" t="str">
        <x:v>Project + concept-OPF v0.2</x:v>
      </x:c>
    </x:row>
    <x:row r="79" ht="54" customHeight="1">
      <x:c r="A79" s="21" t="n">
        <x:v>14</x:v>
      </x:c>
      <x:c r="B79" s="22" t="str">
        <x:v>Bedrijfsproject</x:v>
      </x:c>
      <x:c r="C79" s="22" t="str">
        <x:v>4 projectdagen</x:v>
      </x:c>
      <x:c r="D79" s="36" t="str">
        <x:v>n.t.b.</x:v>
      </x:c>
      <x:c r="E79" s="22" t="str">
        <x:v>Review verwerken; belangrijkste verbeteringen onderzoeken of beproeven</x:v>
      </x:c>
      <x:c r="F79" s="2"/>
      <x:c r="G79" s="2" t="str">
        <x:v>Project + concept-OPF v0.2</x:v>
      </x:c>
    </x:row>
    <x:row r="80" ht="54" customHeight="1">
      <x:c r="A80" s="21" t="n">
        <x:v>14</x:v>
      </x:c>
      <x:c r="B80" s="22" t="str">
        <x:v>Profielwerkplaats</x:v>
      </x:c>
      <x:c r="C80" s="22" t="str">
        <x:v>Doorlopend</x:v>
      </x:c>
      <x:c r="D80" s="36" t="str">
        <x:v>n.t.b.</x:v>
      </x:c>
      <x:c r="E80" s="22" t="str">
        <x:v>Profielverdieping en portfolio lopen door. Afzonderlijke uren zijn niet vastgelegd.</x:v>
      </x:c>
      <x:c r="F80" s="2"/>
      <x:c r="G80" s="2" t="str">
        <x:v>Project + concept-OPF v0.2</x:v>
      </x:c>
    </x:row>
    <x:row r="81" ht="54" customHeight="1">
      <x:c r="A81" s="21" t="n">
        <x:v>15</x:v>
      </x:c>
      <x:c r="B81" s="22" t="str">
        <x:v>Lessen &amp; clinics</x:v>
      </x:c>
      <x:c r="C81" s="22" t="str">
        <x:v>Onderwijsdag</x:v>
      </x:c>
      <x:c r="D81" s="36" t="n">
        <x:v>1.5</x:v>
      </x:c>
      <x:c r="E81" s="22" t="str">
        <x:v>Van bevinding naar advies. 1,5 uur volgens concept-OPF</x:v>
      </x:c>
      <x:c r="F81" s="2"/>
      <x:c r="G81" s="2" t="str">
        <x:v>Project + concept-OPF v0.2</x:v>
      </x:c>
    </x:row>
    <x:row r="82" ht="54" customHeight="1">
      <x:c r="A82" s="21" t="n">
        <x:v>15</x:v>
      </x:c>
      <x:c r="B82" s="22" t="str">
        <x:v>Bedrijfsproject</x:v>
      </x:c>
      <x:c r="C82" s="22" t="str">
        <x:v>4 projectdagen</x:v>
      </x:c>
      <x:c r="D82" s="36" t="str">
        <x:v>n.t.b.</x:v>
      </x:c>
      <x:c r="E82" s="22" t="str">
        <x:v>Analyseren, aanbevelingen toetsen en ontbrekend bewijs aanvullen</x:v>
      </x:c>
      <x:c r="F82" s="2"/>
      <x:c r="G82" s="2" t="str">
        <x:v>Project + concept-OPF v0.2</x:v>
      </x:c>
    </x:row>
    <x:row r="83" ht="54" customHeight="1">
      <x:c r="A83" s="21" t="n">
        <x:v>15</x:v>
      </x:c>
      <x:c r="B83" s="22" t="str">
        <x:v>Profielwerkplaats</x:v>
      </x:c>
      <x:c r="C83" s="22" t="str">
        <x:v>Doorlopend</x:v>
      </x:c>
      <x:c r="D83" s="36" t="str">
        <x:v>n.t.b.</x:v>
      </x:c>
      <x:c r="E83" s="22" t="str">
        <x:v>Profielverdieping en portfolio lopen door. Afzonderlijke uren zijn niet vastgelegd.</x:v>
      </x:c>
      <x:c r="F83" s="2"/>
      <x:c r="G83" s="2" t="str">
        <x:v>Project + concept-OPF v0.2</x:v>
      </x:c>
    </x:row>
    <x:row r="84" ht="54" customHeight="1">
      <x:c r="A84" s="21" t="n">
        <x:v>15</x:v>
      </x:c>
      <x:c r="B84" s="22" t="str">
        <x:v>Feedback &amp; kennis delen</x:v>
      </x:c>
      <x:c r="C84" s="22" t="str">
        <x:v>Tutorcontact</x:v>
      </x:c>
      <x:c r="D84" s="36" t="n">
        <x:v>1</x:v>
      </x:c>
      <x:c r="E84" s="22" t="str">
        <x:v>Haalbaarheid, prioriteiten en onderbouwing bespreken. Duur volgens concept-OPF.</x:v>
      </x:c>
      <x:c r="F84" s="2"/>
      <x:c r="G84" s="2" t="str">
        <x:v>Project + concept-OPF v0.2</x:v>
      </x:c>
    </x:row>
    <x:row r="85" ht="54" customHeight="1">
      <x:c r="A85" s="21" t="n">
        <x:v>16</x:v>
      </x:c>
      <x:c r="B85" s="22" t="str">
        <x:v>Lessen &amp; clinics</x:v>
      </x:c>
      <x:c r="C85" s="22" t="str">
        <x:v>Onderwijsdag</x:v>
      </x:c>
      <x:c r="D85" s="36" t="n">
        <x:v>1.5</x:v>
      </x:c>
      <x:c r="E85" s="22" t="str">
        <x:v>Workshop kennisoverdracht. 1,5 uur volgens concept-OPF</x:v>
      </x:c>
      <x:c r="F85" s="2"/>
      <x:c r="G85" s="2" t="str">
        <x:v>Project + concept-OPF v0.2</x:v>
      </x:c>
    </x:row>
    <x:row r="86" ht="54" customHeight="1">
      <x:c r="A86" s="21" t="n">
        <x:v>16</x:v>
      </x:c>
      <x:c r="B86" s="22" t="str">
        <x:v>Bedrijfsproject</x:v>
      </x:c>
      <x:c r="C86" s="22" t="str">
        <x:v>4 projectdagen</x:v>
      </x:c>
      <x:c r="D86" s="36" t="str">
        <x:v>n.t.b.</x:v>
      </x:c>
      <x:c r="E86" s="22" t="str">
        <x:v>Product en documentatie uitwerken; bedrijfsoverdracht voorbereiden</x:v>
      </x:c>
      <x:c r="F86" s="2"/>
      <x:c r="G86" s="2" t="str">
        <x:v>Project + concept-OPF v0.2</x:v>
      </x:c>
    </x:row>
    <x:row r="87" ht="54" customHeight="1">
      <x:c r="A87" s="21" t="n">
        <x:v>16</x:v>
      </x:c>
      <x:c r="B87" s="22" t="str">
        <x:v>Profielwerkplaats</x:v>
      </x:c>
      <x:c r="C87" s="22" t="str">
        <x:v>Doorlopend</x:v>
      </x:c>
      <x:c r="D87" s="36" t="str">
        <x:v>n.t.b.</x:v>
      </x:c>
      <x:c r="E87" s="22" t="str">
        <x:v>Profielverdieping en portfolio lopen door. Afzonderlijke uren zijn niet vastgelegd.</x:v>
      </x:c>
      <x:c r="F87" s="2"/>
      <x:c r="G87" s="2" t="str">
        <x:v>Project + concept-OPF v0.2</x:v>
      </x:c>
    </x:row>
    <x:row r="88" ht="54" customHeight="1">
      <x:c r="A88" s="21" t="n">
        <x:v>16</x:v>
      </x:c>
      <x:c r="B88" s="22" t="str">
        <x:v>Feedback &amp; kennis delen</x:v>
      </x:c>
      <x:c r="C88" s="22" t="str">
        <x:v>Tutorcontact</x:v>
      </x:c>
      <x:c r="D88" s="36" t="n">
        <x:v>1</x:v>
      </x:c>
      <x:c r="E88" s="22" t="str">
        <x:v>Uitleg en oefening voor bedrijfsoverdracht en profielworkshop beproeven. Duur volgens concept-OPF.</x:v>
      </x:c>
      <x:c r="F88" s="2"/>
      <x:c r="G88" s="2" t="str">
        <x:v>Project + concept-OPF v0.2</x:v>
      </x:c>
    </x:row>
    <x:row r="89" ht="54" customHeight="1">
      <x:c r="A89" s="21" t="n">
        <x:v>17</x:v>
      </x:c>
      <x:c r="B89" s="22" t="str">
        <x:v>Lessen &amp; clinics</x:v>
      </x:c>
      <x:c r="C89" s="22" t="str">
        <x:v>Onderwijsdag</x:v>
      </x:c>
      <x:c r="D89" s="36" t="n">
        <x:v>1.5</x:v>
      </x:c>
      <x:c r="E89" s="22" t="str">
        <x:v>Peerreview conceptoplevering. 1,5 uur volgens concept-OPF</x:v>
      </x:c>
      <x:c r="F89" s="2"/>
      <x:c r="G89" s="2" t="str">
        <x:v>Project + concept-OPF v0.2</x:v>
      </x:c>
    </x:row>
    <x:row r="90" ht="54" customHeight="1">
      <x:c r="A90" s="21" t="n">
        <x:v>17</x:v>
      </x:c>
      <x:c r="B90" s="22" t="str">
        <x:v>Bedrijfsproject</x:v>
      </x:c>
      <x:c r="C90" s="22" t="str">
        <x:v>4 projectdagen</x:v>
      </x:c>
      <x:c r="D90" s="36" t="str">
        <x:v>n.t.b.</x:v>
      </x:c>
      <x:c r="E90" s="22" t="str">
        <x:v>Laatste validatie en verbeteringen uitvoeren; oplevering bevestigen</x:v>
      </x:c>
      <x:c r="F90" s="2"/>
      <x:c r="G90" s="2" t="str">
        <x:v>Project + concept-OPF v0.2</x:v>
      </x:c>
    </x:row>
    <x:row r="91" ht="54" customHeight="1">
      <x:c r="A91" s="21" t="n">
        <x:v>17</x:v>
      </x:c>
      <x:c r="B91" s="22" t="str">
        <x:v>Profielwerkplaats</x:v>
      </x:c>
      <x:c r="C91" s="22" t="str">
        <x:v>Doorlopend</x:v>
      </x:c>
      <x:c r="D91" s="36" t="str">
        <x:v>n.t.b.</x:v>
      </x:c>
      <x:c r="E91" s="22" t="str">
        <x:v>Profielverdieping en portfolio lopen door. Afzonderlijke uren zijn niet vastgelegd.</x:v>
      </x:c>
      <x:c r="F91" s="2"/>
      <x:c r="G91" s="2" t="str">
        <x:v>Project + concept-OPF v0.2</x:v>
      </x:c>
    </x:row>
    <x:row r="92" ht="54" customHeight="1">
      <x:c r="A92" s="21" t="n">
        <x:v>17</x:v>
      </x:c>
      <x:c r="B92" s="22" t="str">
        <x:v>Feedback &amp; kennis delen</x:v>
      </x:c>
      <x:c r="C92" s="22" t="str">
        <x:v>Tutorcontact</x:v>
      </x:c>
      <x:c r="D92" s="36" t="n">
        <x:v>1</x:v>
      </x:c>
      <x:c r="E92" s="22" t="str">
        <x:v>Product, conclusies, bewijs en overdrachtsmateriaal bespreken. Duur volgens concept-OPF.</x:v>
      </x:c>
      <x:c r="F92" s="2"/>
      <x:c r="G92" s="2" t="str">
        <x:v>Project + concept-OPF v0.2</x:v>
      </x:c>
    </x:row>
    <x:row r="93" ht="54" customHeight="1">
      <x:c r="A93" s="21" t="n">
        <x:v>18</x:v>
      </x:c>
      <x:c r="B93" s="22" t="str">
        <x:v>Lessen &amp; clinics</x:v>
      </x:c>
      <x:c r="C93" s="22" t="str">
        <x:v>Onderwijsdag</x:v>
      </x:c>
      <x:c r="D93" s="36" t="n">
        <x:v>1.5</x:v>
      </x:c>
      <x:c r="E93" s="22" t="str">
        <x:v>Bedrijfsoplevering &amp; presentatiecoaching. 1,5 uur coaching volgens concept-OPF; bedrijfsbezoek apart n.t.b.</x:v>
      </x:c>
      <x:c r="F93" s="2"/>
      <x:c r="G93" s="2" t="str">
        <x:v>Project + concept-OPF v0.2</x:v>
      </x:c>
    </x:row>
    <x:row r="94" ht="54" customHeight="1">
      <x:c r="A94" s="21" t="n">
        <x:v>18</x:v>
      </x:c>
      <x:c r="B94" s="22" t="str">
        <x:v>Bedrijfsproject</x:v>
      </x:c>
      <x:c r="C94" s="22" t="str">
        <x:v>4 projectdagen</x:v>
      </x:c>
      <x:c r="D94" s="36" t="str">
        <x:v>n.t.b.</x:v>
      </x:c>
      <x:c r="E94" s="22" t="str">
        <x:v>Opleverfeedback verwerken, documentatie afronden en eventmateriaal voorbereiden</x:v>
      </x:c>
      <x:c r="F94" s="2"/>
      <x:c r="G94" s="2" t="str">
        <x:v>Project + concept-OPF v0.2</x:v>
      </x:c>
    </x:row>
    <x:row r="95" ht="54" customHeight="1">
      <x:c r="A95" s="21" t="n">
        <x:v>18</x:v>
      </x:c>
      <x:c r="B95" s="22" t="str">
        <x:v>Profielwerkplaats</x:v>
      </x:c>
      <x:c r="C95" s="22" t="str">
        <x:v>Doorlopend</x:v>
      </x:c>
      <x:c r="D95" s="36" t="str">
        <x:v>n.t.b.</x:v>
      </x:c>
      <x:c r="E95" s="22" t="str">
        <x:v>Profielverdieping en portfolio lopen door. Afzonderlijke uren zijn niet vastgelegd.</x:v>
      </x:c>
      <x:c r="F95" s="2"/>
      <x:c r="G95" s="2" t="str">
        <x:v>Project + concept-OPF v0.2</x:v>
      </x:c>
    </x:row>
    <x:row r="96" ht="54" customHeight="1">
      <x:c r="A96" s="21" t="n">
        <x:v>18</x:v>
      </x:c>
      <x:c r="B96" s="22" t="str">
        <x:v>Feedback &amp; kennis delen</x:v>
      </x:c>
      <x:c r="C96" s="22" t="str">
        <x:v>Tutorcontact</x:v>
      </x:c>
      <x:c r="D96" s="36" t="n">
        <x:v>1</x:v>
      </x:c>
      <x:c r="E96" s="22" t="str">
        <x:v>Overdracht, opdrachtgeverfeedback en eventvoorbereiding bespreken. Duur volgens concept-OPF.</x:v>
      </x:c>
      <x:c r="F96" s="2"/>
      <x:c r="G96" s="2" t="str">
        <x:v>Project + concept-OPF v0.2</x:v>
      </x:c>
    </x:row>
    <x:row r="97" ht="54" customHeight="1">
      <x:c r="A97" s="21" t="n">
        <x:v>18</x:v>
      </x:c>
      <x:c r="B97" s="22" t="str">
        <x:v>Bedrijfsproject</x:v>
      </x:c>
      <x:c r="C97" s="22" t="str">
        <x:v>Bedrijfsbezoek</x:v>
      </x:c>
      <x:c r="D97" s="36" t="str">
        <x:v>n.t.b.</x:v>
      </x:c>
      <x:c r="E97" s="22" t="str">
        <x:v>Bedrijfsoplevering bij voorkeur W18, uiterlijk maandag W19. Duur apart vast te leggen.</x:v>
      </x:c>
      <x:c r="F97" s="2"/>
      <x:c r="G97" s="2" t="str">
        <x:v>Project + concept-OPF v0.2</x:v>
      </x:c>
    </x:row>
    <x:row r="98" ht="54" customHeight="1">
      <x:c r="A98" s="21" t="n">
        <x:v>19</x:v>
      </x:c>
      <x:c r="B98" s="22" t="str">
        <x:v>Bedrijfsproject</x:v>
      </x:c>
      <x:c r="C98" s="22" t="str">
        <x:v>Maandag–woensdag</x:v>
      </x:c>
      <x:c r="D98" s="36" t="str">
        <x:v>n.t.b.</x:v>
      </x:c>
      <x:c r="E98" s="22" t="str">
        <x:v>Laatste afronding, workshops en keynotes oefenen, demo’s testen. Bedrijfsoplevering uiterlijk maandag.</x:v>
      </x:c>
      <x:c r="F98" s="2"/>
      <x:c r="G98" s="2" t="str">
        <x:v>Project + voorlopig Eind Event</x:v>
      </x:c>
    </x:row>
    <x:row r="99" ht="54" customHeight="1">
      <x:c r="A99" s="21" t="n">
        <x:v>19</x:v>
      </x:c>
      <x:c r="B99" s="22" t="str">
        <x:v>Feedback &amp; kennis delen</x:v>
      </x:c>
      <x:c r="C99" s="22" t="str">
        <x:v>Donderdag</x:v>
      </x:c>
      <x:c r="D99" s="36" t="n">
        <x:v>9</x:v>
      </x:c>
      <x:c r="E99" s="22" t="str">
        <x:v>Voorlopig Eind Event 09:00–18:00. Volledig tijdvenster, inclusief ontvangst en pauzes. Zie verdeling op Eind Event.</x:v>
      </x:c>
      <x:c r="F99" s="2"/>
      <x:c r="G99" s="2" t="str">
        <x:v>Project + voorlopig Eind Event</x:v>
      </x:c>
    </x:row>
    <x:row r="100" ht="54" customHeight="1">
      <x:c r="A100" s="21" t="n">
        <x:v>19</x:v>
      </x:c>
      <x:c r="B100" s="22" t="str">
        <x:v>Feedback &amp; kennis delen</x:v>
      </x:c>
      <x:c r="C100" s="22" t="str">
        <x:v>Tutorcontact</x:v>
      </x:c>
      <x:c r="D100" s="36" t="n">
        <x:v>1</x:v>
      </x:c>
      <x:c r="E100" s="22" t="str">
        <x:v>Concept-OPF noemt tutorcontact naast het event. Niet gelijktijdig of dubbel boeken.</x:v>
      </x:c>
      <x:c r="F100" s="2"/>
      <x:c r="G100" s="2" t="str">
        <x:v>Project + voorlopig Eind Event</x:v>
      </x:c>
    </x:row>
    <x:row r="101" ht="54" customHeight="1">
      <x:c r="A101" s="21" t="n">
        <x:v>19</x:v>
      </x:c>
      <x:c r="B101" s="22" t="str">
        <x:v>Bedrijfsproject</x:v>
      </x:c>
      <x:c r="C101" s="22" t="str">
        <x:v>Vrijdag</x:v>
      </x:c>
      <x:c r="D101" s="36" t="str">
        <x:v>n.t.b.</x:v>
      </x:c>
      <x:c r="E101" s="22" t="str">
        <x:v>Reflectie, afsluiting met het bedrijf en controle van toegang en klantdata.</x:v>
      </x:c>
      <x:c r="F101" s="2"/>
      <x:c r="G101" s="2" t="str">
        <x:v>Project + voorlopig Eind Event</x:v>
      </x:c>
    </x:row>
    <x:row r="102" ht="54" customHeight="1">
      <x:c r="A102" s="26" t="n">
        <x:v>20</x:v>
      </x:c>
      <x:c r="B102" s="27" t="str">
        <x:v>Herstel</x:v>
      </x:c>
      <x:c r="C102" s="27" t="str">
        <x:v>Herkansingen</x:v>
      </x:c>
      <x:c r="D102" s="37" t="str">
        <x:v>n.t.b.</x:v>
      </x:c>
      <x:c r="E102" s="27" t="str">
        <x:v>Ontbrekend of onvoldoende werk herstellen. Programma, omvang en beoordeling nog bepalen.</x:v>
      </x:c>
      <x:c r="F102" s="2"/>
      <x:c r="G102" s="2" t="str">
        <x:v>Project + voorlopig Eind Event</x:v>
      </x:c>
    </x:row>
    <x:row r="103">
      <x:c r="A103" s="2"/>
      <x:c r="B103" s="2"/>
      <x:c r="C103" s="2"/>
      <x:c r="D103" s="2"/>
      <x:c r="E103" s="2"/>
      <x:c r="F103" s="2"/>
      <x:c r="G103" s="2"/>
    </x:row>
    <x:row r="104">
      <x:c r="A104" s="2"/>
      <x:c r="B104" s="2"/>
      <x:c r="C104" s="2"/>
      <x:c r="D104" s="2"/>
      <x:c r="E104" s="2"/>
      <x:c r="F104" s="2"/>
      <x:c r="G104" s="2"/>
    </x:row>
    <x:row r="105">
      <x:c r="A105" s="2"/>
      <x:c r="B105" s="2"/>
      <x:c r="C105" s="2"/>
      <x:c r="D105" s="2"/>
      <x:c r="E105" s="2"/>
      <x:c r="F105" s="2"/>
      <x:c r="G105" s="2"/>
    </x:row>
    <x:row r="106">
      <x:c r="A106" s="2"/>
      <x:c r="B106" s="2"/>
      <x:c r="C106" s="2"/>
      <x:c r="D106" s="2"/>
      <x:c r="E106" s="2"/>
      <x:c r="F106" s="2"/>
      <x:c r="G106" s="2"/>
    </x:row>
    <x:row r="107">
      <x:c r="A107" s="2"/>
      <x:c r="B107" s="2"/>
      <x:c r="C107" s="2"/>
      <x:c r="D107" s="2"/>
      <x:c r="E107" s="2"/>
      <x:c r="F107" s="2"/>
      <x:c r="G107" s="2"/>
    </x:row>
    <x:row r="108">
      <x:c r="A108" s="2"/>
      <x:c r="B108" s="2"/>
      <x:c r="C108" s="2"/>
      <x:c r="D108" s="2"/>
      <x:c r="E108" s="2"/>
      <x:c r="F108" s="2"/>
      <x:c r="G108" s="2"/>
    </x:row>
    <x:row r="109">
      <x:c r="A109" s="2"/>
      <x:c r="B109" s="2"/>
      <x:c r="C109" s="2"/>
      <x:c r="D109" s="2"/>
      <x:c r="E109" s="2"/>
      <x:c r="F109" s="2"/>
      <x:c r="G109" s="2"/>
    </x:row>
    <x:row r="110">
      <x:c r="A110" s="2"/>
      <x:c r="B110" s="2"/>
      <x:c r="C110" s="2"/>
      <x:c r="D110" s="2"/>
      <x:c r="E110" s="2"/>
      <x:c r="F110" s="2"/>
      <x:c r="G110" s="2"/>
    </x:row>
    <x:row r="111">
      <x:c r="A111" s="2"/>
      <x:c r="B111" s="2"/>
      <x:c r="C111" s="2"/>
      <x:c r="D111" s="2"/>
      <x:c r="E111" s="2"/>
      <x:c r="F111" s="2"/>
      <x:c r="G111" s="2"/>
    </x:row>
    <x:row r="112">
      <x:c r="A112" s="2"/>
      <x:c r="B112" s="2"/>
      <x:c r="C112" s="2"/>
      <x:c r="D112" s="2"/>
      <x:c r="E112" s="2"/>
      <x:c r="F112" s="2"/>
      <x:c r="G112" s="2"/>
    </x:row>
    <x:row r="113">
      <x:c r="A113" s="2"/>
      <x:c r="B113" s="2"/>
      <x:c r="C113" s="2"/>
      <x:c r="D113" s="2"/>
      <x:c r="E113" s="2"/>
      <x:c r="F113" s="2"/>
      <x:c r="G113" s="2"/>
    </x:row>
    <x:row r="114">
      <x:c r="A114" s="2"/>
      <x:c r="B114" s="2"/>
      <x:c r="C114" s="2"/>
      <x:c r="D114" s="2"/>
      <x:c r="E114" s="2"/>
      <x:c r="F114" s="2"/>
      <x:c r="G114" s="2"/>
    </x:row>
    <x:row r="115">
      <x:c r="A115" s="2"/>
      <x:c r="B115" s="2"/>
      <x:c r="C115" s="2"/>
      <x:c r="D115" s="2"/>
      <x:c r="E115" s="2"/>
      <x:c r="F115" s="2"/>
      <x:c r="G115" s="2"/>
    </x:row>
    <x:row r="116">
      <x:c r="A116" s="2"/>
      <x:c r="B116" s="2"/>
      <x:c r="C116" s="2"/>
      <x:c r="D116" s="2"/>
      <x:c r="E116" s="2"/>
      <x:c r="F116" s="2"/>
      <x:c r="G116" s="2"/>
    </x:row>
    <x:row r="117">
      <x:c r="A117" s="2"/>
      <x:c r="B117" s="2"/>
      <x:c r="C117" s="2"/>
      <x:c r="D117" s="2"/>
      <x:c r="E117" s="2"/>
      <x:c r="F117" s="2"/>
      <x:c r="G117" s="2"/>
    </x:row>
    <x:row r="118">
      <x:c r="A118" s="2"/>
      <x:c r="B118" s="2"/>
      <x:c r="C118" s="2"/>
      <x:c r="D118" s="2"/>
      <x:c r="E118" s="2"/>
      <x:c r="F118" s="2"/>
      <x:c r="G118" s="2"/>
    </x:row>
    <x:row r="119">
      <x:c r="A119" s="2"/>
      <x:c r="B119" s="2"/>
      <x:c r="C119" s="2"/>
      <x:c r="D119" s="2"/>
      <x:c r="E119" s="2"/>
      <x:c r="F119" s="2"/>
      <x:c r="G119" s="2"/>
    </x:row>
    <x:row r="120">
      <x:c r="A120" s="2"/>
      <x:c r="B120" s="2"/>
      <x:c r="C120" s="2"/>
      <x:c r="D120" s="2"/>
      <x:c r="E120" s="2"/>
      <x:c r="F120" s="2"/>
      <x:c r="G120" s="2"/>
    </x:row>
  </x:sheetData>
  <x:conditionalFormatting sqref="D6:D102">
    <x:cfRule type="containsText" dxfId="2" priority="1" operator="containsText" text="n.t.b."/>
  </x:conditionalFormatting>
  <x:pageMargins left="0.7" right="0.7" top="0.75" bottom="0.75" header="0.3" footer="0.3"/>
  <x:tableParts count="1">
    <x:tablePart xmlns:r="http://schemas.openxmlformats.org/officeDocument/2006/relationships" r:id="Rd5bfdc8d5f0c4c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9" hidden="0" customWidth="1"/>
    <x:col min="4" max="4" width="13" hidden="0" customWidth="1"/>
    <x:col min="5" max="5" width="66" hidden="0" customWidth="1"/>
    <x:col min="6" max="6" width="3" hidden="0" customWidth="1"/>
    <x:col min="7" max="7" width="47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Secure by Design — Eind Event</x:v>
      </x:c>
      <x:c r="B2" s="2"/>
      <x:c r="C2" s="2"/>
      <x:c r="D2" s="2"/>
      <x:c r="E2" s="2"/>
      <x:c r="F2" s="2"/>
      <x:c r="G2" s="2"/>
    </x:row>
    <x:row r="3">
      <x:c r="A3" s="4" t="str">
        <x:v>Week 19. Voorlopig programma. Datum, locatie en onderwerpen nog te bepalen.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44" customHeight="1">
      <x:c r="A5" s="9" t="str">
        <x:v>Tijd</x:v>
      </x:c>
      <x:c r="B5" s="9" t="str">
        <x:v>Onderdeel</x:v>
      </x:c>
      <x:c r="C5" s="9" t="str">
        <x:v>Categorie</x:v>
      </x:c>
      <x:c r="D5" s="9" t="str">
        <x:v>Uren geteld</x:v>
      </x:c>
      <x:c r="E5" s="9" t="str">
        <x:v>Toelichting</x:v>
      </x:c>
      <x:c r="F5" s="2"/>
      <x:c r="G5" s="2" t="str">
        <x:v>Bron en afbakening</x:v>
      </x:c>
    </x:row>
    <x:row r="6" ht="48" customHeight="1">
      <x:c r="A6" s="44" t="str">
        <x:v>09:00–09:30</x:v>
      </x:c>
      <x:c r="B6" s="17" t="str">
        <x:v>Ontvangst &amp; koffie</x:v>
      </x:c>
      <x:c r="C6" s="17" t="str">
        <x:v>Overige tijd</x:v>
      </x:c>
      <x:c r="D6" s="35" t="n">
        <x:v>0.5</x:v>
      </x:c>
      <x:c r="E6" s="17" t="str">
        <x:v>Ochtendontvangst.</x:v>
      </x:c>
      <x:c r="F6" s="2"/>
      <x:c r="G6" s="13" t="str">
        <x:v>Website: app/content/eindevent.nl.ts</x:v>
      </x:c>
    </x:row>
    <x:row r="7" ht="48" customHeight="1">
      <x:c r="A7" s="45" t="str">
        <x:v>09:30–09:45</x:v>
      </x:c>
      <x:c r="B7" s="22" t="str">
        <x:v>Opening workshopprogramma</x:v>
      </x:c>
      <x:c r="C7" s="22" t="str">
        <x:v>Feedback &amp; kennis delen</x:v>
      </x:c>
      <x:c r="D7" s="36" t="n">
        <x:v>0.25</x:v>
      </x:c>
      <x:c r="E7" s="22" t="str">
        <x:v>Uitleg van rondes en leerdoelen.</x:v>
      </x:c>
      <x:c r="F7" s="2"/>
      <x:c r="G7" s="13" t="str">
        <x:v>Indeling: urenoverzicht-alle-weken.md</x:v>
      </x:c>
    </x:row>
    <x:row r="8" ht="48" customHeight="1">
      <x:c r="A8" s="45" t="str">
        <x:v>09:45–10:45</x:v>
      </x:c>
      <x:c r="B8" s="22" t="str">
        <x:v>Workshopronde 1</x:v>
      </x:c>
      <x:c r="C8" s="22" t="str">
        <x:v>Lessen &amp; clinics</x:v>
      </x:c>
      <x:c r="D8" s="36" t="n">
        <x:v>1</x:v>
      </x:c>
      <x:c r="E8" s="22" t="str">
        <x:v>Vijf parallelle workshops. Een uur per student.</x:v>
      </x:c>
      <x:c r="F8" s="2"/>
      <x:c r="G8" s="13" t="str">
        <x:v>9 uur tijdvenster, inclusief ontvangst en pauzes.</x:v>
      </x:c>
    </x:row>
    <x:row r="9" ht="48" customHeight="1">
      <x:c r="A9" s="45" t="str">
        <x:v>10:45–11:00</x:v>
      </x:c>
      <x:c r="B9" s="22" t="str">
        <x:v>Pauze</x:v>
      </x:c>
      <x:c r="C9" s="22" t="str">
        <x:v>Overige tijd</x:v>
      </x:c>
      <x:c r="D9" s="36" t="n">
        <x:v>0.25</x:v>
      </x:c>
      <x:c r="E9" s="22" t="str">
        <x:v>Wisselen en napraten.</x:v>
      </x:c>
      <x:c r="F9" s="2"/>
      <x:c r="G9" s="13" t="str">
        <x:v>Voorbereiding ma–wo: uren n.t.b.</x:v>
      </x:c>
    </x:row>
    <x:row r="10" ht="48" customHeight="1">
      <x:c r="A10" s="45" t="str">
        <x:v>11:00–12:00</x:v>
      </x:c>
      <x:c r="B10" s="22" t="str">
        <x:v>Workshopronde 2</x:v>
      </x:c>
      <x:c r="C10" s="22" t="str">
        <x:v>Lessen &amp; clinics</x:v>
      </x:c>
      <x:c r="D10" s="36" t="n">
        <x:v>1</x:v>
      </x:c>
      <x:c r="E10" s="22" t="str">
        <x:v>Vijf andere workshops. Studenten wisselen geven en volgen.</x:v>
      </x:c>
      <x:c r="F10" s="2"/>
      <x:c r="G10" s="13" t="str">
        <x:v>Afsluiting vrijdag: uren n.t.b.</x:v>
      </x:c>
    </x:row>
    <x:row r="11" ht="48" customHeight="1">
      <x:c r="A11" s="45" t="str">
        <x:v>12:00–13:00</x:v>
      </x:c>
      <x:c r="B11" s="22" t="str">
        <x:v>Netwerklunch</x:v>
      </x:c>
      <x:c r="C11" s="22" t="str">
        <x:v>Overige tijd</x:v>
      </x:c>
      <x:c r="D11" s="36" t="n">
        <x:v>1</x:v>
      </x:c>
      <x:c r="E11" s="22" t="str">
        <x:v>Studenten en bedrijven ontmoeten elkaar.</x:v>
      </x:c>
      <x:c r="F11" s="2"/>
      <x:c r="G11" s="13" t="str">
        <x:v>Tutorcontact apart afstemmen.</x:v>
      </x:c>
    </x:row>
    <x:row r="12" ht="48" customHeight="1">
      <x:c r="A12" s="45" t="str">
        <x:v>13:00–13:45</x:v>
      </x:c>
      <x:c r="B12" s="22" t="str">
        <x:v>Opbouw &amp; techniekcheck</x:v>
      </x:c>
      <x:c r="C12" s="22" t="str">
        <x:v>Bedrijfsproject</x:v>
      </x:c>
      <x:c r="D12" s="36" t="n">
        <x:v>0.75</x:v>
      </x:c>
      <x:c r="E12" s="22" t="str">
        <x:v>Projectstands, demo’s en keynotes voorbereiden.</x:v>
      </x:c>
      <x:c r="F12" s="2"/>
      <x:c r="G12" s="13" t="str">
        <x:v>Profielwerkplaats 0: geen apart werkplaatsblok op de eventdag.</x:v>
      </x:c>
    </x:row>
    <x:row r="13" ht="48" customHeight="1">
      <x:c r="A13" s="45" t="str">
        <x:v>13:30–14:00</x:v>
      </x:c>
      <x:c r="B13" s="22" t="str">
        <x:v>Ontvangst middagpubliek</x:v>
      </x:c>
      <x:c r="C13" s="22" t="str">
        <x:v>Overige tijd</x:v>
      </x:c>
      <x:c r="D13" s="36" t="n">
        <x:v>0.25</x:v>
      </x:c>
      <x:c r="E13" s="22" t="str">
        <x:v>Slechts 13:45–14:00 extra geteld. Eerste kwartier overlapt met opbouw.</x:v>
      </x:c>
      <x:c r="F13" s="2"/>
      <x:c r="G13" s="2"/>
    </x:row>
    <x:row r="14" ht="48" customHeight="1">
      <x:c r="A14" s="45" t="str">
        <x:v>14:00–14:15</x:v>
      </x:c>
      <x:c r="B14" s="22" t="str">
        <x:v>Opening eindevent</x:v>
      </x:c>
      <x:c r="C14" s="22" t="str">
        <x:v>Feedback &amp; kennis delen</x:v>
      </x:c>
      <x:c r="D14" s="36" t="n">
        <x:v>0.25</x:v>
      </x:c>
      <x:c r="E14" s="22" t="str">
        <x:v>Welkom en introductie van de opbrengsten.</x:v>
      </x:c>
      <x:c r="F14" s="2"/>
      <x:c r="G14" s="2"/>
    </x:row>
    <x:row r="15" ht="48" customHeight="1">
      <x:c r="A15" s="45" t="str">
        <x:v>14:15–14:45</x:v>
      </x:c>
      <x:c r="B15" s="22" t="str">
        <x:v>Drie studentkeynotes</x:v>
      </x:c>
      <x:c r="C15" s="22" t="str">
        <x:v>Lessen &amp; clinics</x:v>
      </x:c>
      <x:c r="D15" s="36" t="n">
        <x:v>0.5</x:v>
      </x:c>
      <x:c r="E15" s="22" t="str">
        <x:v>Drie keynotes samen 30 minuten.</x:v>
      </x:c>
      <x:c r="F15" s="2"/>
      <x:c r="G15" s="2"/>
    </x:row>
    <x:row r="16" ht="48" customHeight="1">
      <x:c r="A16" s="45" t="str">
        <x:v>14:45–15:00</x:v>
      </x:c>
      <x:c r="B16" s="22" t="str">
        <x:v>Pauze</x:v>
      </x:c>
      <x:c r="C16" s="22" t="str">
        <x:v>Overige tijd</x:v>
      </x:c>
      <x:c r="D16" s="36" t="n">
        <x:v>0.25</x:v>
      </x:c>
      <x:c r="E16" s="22" t="str">
        <x:v>Ontmoeten en wisselen.</x:v>
      </x:c>
      <x:c r="F16" s="2"/>
      <x:c r="G16" s="2"/>
    </x:row>
    <x:row r="17" ht="48" customHeight="1">
      <x:c r="A17" s="45" t="str">
        <x:v>15:00–15:45</x:v>
      </x:c>
      <x:c r="B17" s="22" t="str">
        <x:v>Projectpresentaties teams 1–3</x:v>
      </x:c>
      <x:c r="C17" s="22" t="str">
        <x:v>Bedrijfsproject</x:v>
      </x:c>
      <x:c r="D17" s="36" t="n">
        <x:v>0.75</x:v>
      </x:c>
      <x:c r="E17" s="22" t="str">
        <x:v>Drie teams. 15 minuten per team incl. vragen en wissel.</x:v>
      </x:c>
      <x:c r="F17" s="2"/>
      <x:c r="G17" s="2"/>
    </x:row>
    <x:row r="18" ht="48" customHeight="1">
      <x:c r="A18" s="45" t="str">
        <x:v>15:45–16:00</x:v>
      </x:c>
      <x:c r="B18" s="22" t="str">
        <x:v>Pauze</x:v>
      </x:c>
      <x:c r="C18" s="22" t="str">
        <x:v>Overige tijd</x:v>
      </x:c>
      <x:c r="D18" s="36" t="n">
        <x:v>0.25</x:v>
      </x:c>
      <x:c r="E18" s="22" t="str">
        <x:v>Ruimte om na te praten.</x:v>
      </x:c>
      <x:c r="F18" s="2"/>
      <x:c r="G18" s="2"/>
    </x:row>
    <x:row r="19" ht="48" customHeight="1">
      <x:c r="A19" s="45" t="str">
        <x:v>16:00–16:45</x:v>
      </x:c>
      <x:c r="B19" s="22" t="str">
        <x:v>Projectpresentaties teams 4–6</x:v>
      </x:c>
      <x:c r="C19" s="22" t="str">
        <x:v>Bedrijfsproject</x:v>
      </x:c>
      <x:c r="D19" s="36" t="n">
        <x:v>0.75</x:v>
      </x:c>
      <x:c r="E19" s="22" t="str">
        <x:v>Alle projecten hebben evenveel presentatietijd.</x:v>
      </x:c>
      <x:c r="F19" s="2"/>
      <x:c r="G19" s="2"/>
    </x:row>
    <x:row r="20" ht="48" customHeight="1">
      <x:c r="A20" s="45" t="str">
        <x:v>16:45–17:15</x:v>
      </x:c>
      <x:c r="B20" s="22" t="str">
        <x:v>Projectmarkt</x:v>
      </x:c>
      <x:c r="C20" s="22" t="str">
        <x:v>Bedrijfsproject</x:v>
      </x:c>
      <x:c r="D20" s="36" t="n">
        <x:v>0.5</x:v>
      </x:c>
      <x:c r="E20" s="22" t="str">
        <x:v>Zes stands met demo’s, advies en gesprekken.</x:v>
      </x:c>
      <x:c r="F20" s="2"/>
      <x:c r="G20" s="2"/>
    </x:row>
    <x:row r="21" ht="48" customHeight="1">
      <x:c r="A21" s="45" t="str">
        <x:v>17:15–17:30</x:v>
      </x:c>
      <x:c r="B21" s="22" t="str">
        <x:v>Gezamenlijke afsluiting</x:v>
      </x:c>
      <x:c r="C21" s="22" t="str">
        <x:v>Feedback &amp; kennis delen</x:v>
      </x:c>
      <x:c r="D21" s="36" t="n">
        <x:v>0.25</x:v>
      </x:c>
      <x:c r="E21" s="22" t="str">
        <x:v>Reflectie en vooruitblik.</x:v>
      </x:c>
      <x:c r="F21" s="2"/>
      <x:c r="G21" s="2"/>
    </x:row>
    <x:row r="22" ht="48" customHeight="1">
      <x:c r="A22" s="46" t="str">
        <x:v>17:30–18:00</x:v>
      </x:c>
      <x:c r="B22" s="27" t="str">
        <x:v>Netwerkborrel</x:v>
      </x:c>
      <x:c r="C22" s="27" t="str">
        <x:v>Overige tijd</x:v>
      </x:c>
      <x:c r="D22" s="37" t="n">
        <x:v>0.5</x:v>
      </x:c>
      <x:c r="E22" s="27" t="str">
        <x:v>Vervolgcontact en samenwerking.</x:v>
      </x:c>
      <x:c r="F22" s="2"/>
      <x:c r="G22" s="2"/>
    </x:row>
    <x:row r="23">
      <x:c r="A23" s="2"/>
      <x:c r="B23" s="2"/>
      <x:c r="C23" s="2"/>
      <x:c r="D23" s="2"/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 ht="30" customHeight="1">
      <x:c r="A25" s="6" t="str">
        <x:v>Eventuren</x:v>
      </x:c>
      <x:c r="B25" s="6"/>
      <x:c r="C25" s="6"/>
      <x:c r="D25" s="32" t="n">
        <x:f>SUM(D6:D22)</x:f>
        <x:v>9</x:v>
      </x:c>
      <x:c r="E25" s="6"/>
      <x:c r="F25" s="2"/>
      <x:c r="G25" s="2"/>
    </x:row>
    <x:row r="26">
      <x:c r="A26" s="2"/>
      <x:c r="B26" s="2"/>
      <x:c r="C26" s="2"/>
      <x:c r="D26" s="10"/>
      <x:c r="E26" s="2"/>
      <x:c r="F26" s="2"/>
      <x:c r="G26" s="2"/>
    </x:row>
    <x:row r="27">
      <x:c r="A27" s="2"/>
      <x:c r="B27" s="2"/>
      <x:c r="C27" s="2"/>
      <x:c r="D27" s="10"/>
      <x:c r="E27" s="2"/>
      <x:c r="F27" s="2"/>
      <x:c r="G27" s="2"/>
    </x:row>
    <x:row r="28">
      <x:c r="A28" s="2"/>
      <x:c r="B28" s="2" t="str">
        <x:v>Categorie</x:v>
      </x:c>
      <x:c r="C28" s="2"/>
      <x:c r="D28" s="10" t="str">
        <x:v>Uren</x:v>
      </x:c>
      <x:c r="E28" s="2"/>
      <x:c r="F28" s="2"/>
      <x:c r="G28" s="2"/>
    </x:row>
    <x:row r="29" ht="26" customHeight="1">
      <x:c r="A29" s="2"/>
      <x:c r="B29" s="2" t="str">
        <x:v>Lessen &amp; clinics</x:v>
      </x:c>
      <x:c r="C29" s="2"/>
      <x:c r="D29" s="10" t="n">
        <x:f>SUMIFS($D$6:$D$22,$C$6:$C$22,B29)</x:f>
        <x:v>2.5</x:v>
      </x:c>
      <x:c r="E29" s="2"/>
      <x:c r="F29" s="2"/>
      <x:c r="G29" s="2"/>
    </x:row>
    <x:row r="30" ht="26" customHeight="1">
      <x:c r="A30" s="2"/>
      <x:c r="B30" s="2" t="str">
        <x:v>Profielwerkplaats</x:v>
      </x:c>
      <x:c r="C30" s="2"/>
      <x:c r="D30" s="10" t="n">
        <x:f>SUMIFS($D$6:$D$22,$C$6:$C$22,B30)</x:f>
        <x:v>0</x:v>
      </x:c>
      <x:c r="E30" s="2"/>
      <x:c r="F30" s="2"/>
      <x:c r="G30" s="2"/>
    </x:row>
    <x:row r="31" ht="26" customHeight="1">
      <x:c r="A31" s="2"/>
      <x:c r="B31" s="2" t="str">
        <x:v>Bedrijfsproject</x:v>
      </x:c>
      <x:c r="C31" s="2"/>
      <x:c r="D31" s="10" t="n">
        <x:f>SUMIFS($D$6:$D$22,$C$6:$C$22,B31)</x:f>
        <x:v>2.75</x:v>
      </x:c>
      <x:c r="E31" s="2"/>
      <x:c r="F31" s="2"/>
      <x:c r="G31" s="2"/>
    </x:row>
    <x:row r="32" ht="26" customHeight="1">
      <x:c r="A32" s="2"/>
      <x:c r="B32" s="2" t="str">
        <x:v>Feedback &amp; kennis delen</x:v>
      </x:c>
      <x:c r="C32" s="2"/>
      <x:c r="D32" s="10" t="n">
        <x:f>SUMIFS($D$6:$D$22,$C$6:$C$22,B32)</x:f>
        <x:v>0.75</x:v>
      </x:c>
      <x:c r="E32" s="2"/>
      <x:c r="F32" s="2"/>
      <x:c r="G32" s="2"/>
    </x:row>
    <x:row r="33" ht="26" customHeight="1">
      <x:c r="A33" s="2"/>
      <x:c r="B33" s="2" t="str">
        <x:v>Overige tijd</x:v>
      </x:c>
      <x:c r="C33" s="2"/>
      <x:c r="D33" s="10" t="n">
        <x:f>SUMIFS($D$6:$D$22,$C$6:$C$22,B33)</x:f>
        <x:v>3</x:v>
      </x:c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  <x:row r="36">
      <x:c r="A36" s="2"/>
      <x:c r="B36" s="2"/>
      <x:c r="C36" s="2"/>
      <x:c r="D36" s="2"/>
      <x:c r="E36" s="2"/>
      <x:c r="F36" s="2"/>
      <x:c r="G36" s="2"/>
    </x:row>
    <x:row r="37">
      <x:c r="A37" s="2"/>
      <x:c r="B37" s="2"/>
      <x:c r="C37" s="2"/>
      <x:c r="D37" s="2"/>
      <x:c r="E37" s="2"/>
      <x:c r="F37" s="2"/>
      <x:c r="G37" s="2"/>
    </x:row>
    <x:row r="38">
      <x:c r="A38" s="2"/>
      <x:c r="B38" s="2"/>
      <x:c r="C38" s="2"/>
      <x:c r="D38" s="2"/>
      <x:c r="E38" s="2"/>
      <x:c r="F38" s="2"/>
      <x:c r="G38" s="2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/>
      <x:c r="B40" s="2"/>
      <x:c r="C40" s="2"/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  <x:row r="91">
      <x:c r="A91" s="2"/>
      <x:c r="B91" s="2"/>
      <x:c r="C91" s="2"/>
      <x:c r="D91" s="2"/>
      <x:c r="E91" s="2"/>
      <x:c r="F91" s="2"/>
      <x:c r="G91" s="2"/>
    </x:row>
    <x:row r="92">
      <x:c r="A92" s="2"/>
      <x:c r="B92" s="2"/>
      <x:c r="C92" s="2"/>
      <x:c r="D92" s="2"/>
      <x:c r="E92" s="2"/>
      <x:c r="F92" s="2"/>
      <x:c r="G92" s="2"/>
    </x:row>
    <x:row r="93">
      <x:c r="A93" s="2"/>
      <x:c r="B93" s="2"/>
      <x:c r="C93" s="2"/>
      <x:c r="D93" s="2"/>
      <x:c r="E93" s="2"/>
      <x:c r="F93" s="2"/>
      <x:c r="G93" s="2"/>
    </x:row>
    <x:row r="94">
      <x:c r="A94" s="2"/>
      <x:c r="B94" s="2"/>
      <x:c r="C94" s="2"/>
      <x:c r="D94" s="2"/>
      <x:c r="E94" s="2"/>
      <x:c r="F94" s="2"/>
      <x:c r="G94" s="2"/>
    </x:row>
    <x:row r="95">
      <x:c r="A95" s="2"/>
      <x:c r="B95" s="2"/>
      <x:c r="C95" s="2"/>
      <x:c r="D95" s="2"/>
      <x:c r="E95" s="2"/>
      <x:c r="F95" s="2"/>
      <x:c r="G95" s="2"/>
    </x:row>
    <x:row r="96">
      <x:c r="A96" s="2"/>
      <x:c r="B96" s="2"/>
      <x:c r="C96" s="2"/>
      <x:c r="D96" s="2"/>
      <x:c r="E96" s="2"/>
      <x:c r="F96" s="2"/>
      <x:c r="G96" s="2"/>
    </x:row>
    <x:row r="97">
      <x:c r="A97" s="2"/>
      <x:c r="B97" s="2"/>
      <x:c r="C97" s="2"/>
      <x:c r="D97" s="2"/>
      <x:c r="E97" s="2"/>
      <x:c r="F97" s="2"/>
      <x:c r="G97" s="2"/>
    </x:row>
    <x:row r="98">
      <x:c r="A98" s="2"/>
      <x:c r="B98" s="2"/>
      <x:c r="C98" s="2"/>
      <x:c r="D98" s="2"/>
      <x:c r="E98" s="2"/>
      <x:c r="F98" s="2"/>
      <x:c r="G98" s="2"/>
    </x:row>
    <x:row r="99">
      <x:c r="A99" s="2"/>
      <x:c r="B99" s="2"/>
      <x:c r="C99" s="2"/>
      <x:c r="D99" s="2"/>
      <x:c r="E99" s="2"/>
      <x:c r="F99" s="2"/>
      <x:c r="G99" s="2"/>
    </x:row>
    <x:row r="100">
      <x:c r="A100" s="2"/>
      <x:c r="B100" s="2"/>
      <x:c r="C100" s="2"/>
      <x:c r="D100" s="2"/>
      <x:c r="E100" s="2"/>
      <x:c r="F100" s="2"/>
      <x:c r="G100" s="2"/>
    </x:row>
    <x:row r="101">
      <x:c r="A101" s="2"/>
      <x:c r="B101" s="2"/>
      <x:c r="C101" s="2"/>
      <x:c r="D101" s="2"/>
      <x:c r="E101" s="2"/>
      <x:c r="F101" s="2"/>
      <x:c r="G101" s="2"/>
    </x:row>
    <x:row r="102">
      <x:c r="A102" s="2"/>
      <x:c r="B102" s="2"/>
      <x:c r="C102" s="2"/>
      <x:c r="D102" s="2"/>
      <x:c r="E102" s="2"/>
      <x:c r="F102" s="2"/>
      <x:c r="G102" s="2"/>
    </x:row>
    <x:row r="103">
      <x:c r="A103" s="2"/>
      <x:c r="B103" s="2"/>
      <x:c r="C103" s="2"/>
      <x:c r="D103" s="2"/>
      <x:c r="E103" s="2"/>
      <x:c r="F103" s="2"/>
      <x:c r="G103" s="2"/>
    </x:row>
    <x:row r="104">
      <x:c r="A104" s="2"/>
      <x:c r="B104" s="2"/>
      <x:c r="C104" s="2"/>
      <x:c r="D104" s="2"/>
      <x:c r="E104" s="2"/>
      <x:c r="F104" s="2"/>
      <x:c r="G104" s="2"/>
    </x:row>
    <x:row r="105">
      <x:c r="A105" s="2"/>
      <x:c r="B105" s="2"/>
      <x:c r="C105" s="2"/>
      <x:c r="D105" s="2"/>
      <x:c r="E105" s="2"/>
      <x:c r="F105" s="2"/>
      <x:c r="G105" s="2"/>
    </x:row>
    <x:row r="106">
      <x:c r="A106" s="2"/>
      <x:c r="B106" s="2"/>
      <x:c r="C106" s="2"/>
      <x:c r="D106" s="2"/>
      <x:c r="E106" s="2"/>
      <x:c r="F106" s="2"/>
      <x:c r="G106" s="2"/>
    </x:row>
    <x:row r="107">
      <x:c r="A107" s="2"/>
      <x:c r="B107" s="2"/>
      <x:c r="C107" s="2"/>
      <x:c r="D107" s="2"/>
      <x:c r="E107" s="2"/>
      <x:c r="F107" s="2"/>
      <x:c r="G107" s="2"/>
    </x:row>
    <x:row r="108">
      <x:c r="A108" s="2"/>
      <x:c r="B108" s="2"/>
      <x:c r="C108" s="2"/>
      <x:c r="D108" s="2"/>
      <x:c r="E108" s="2"/>
      <x:c r="F108" s="2"/>
      <x:c r="G108" s="2"/>
    </x:row>
    <x:row r="109">
      <x:c r="A109" s="2"/>
      <x:c r="B109" s="2"/>
      <x:c r="C109" s="2"/>
      <x:c r="D109" s="2"/>
      <x:c r="E109" s="2"/>
      <x:c r="F109" s="2"/>
      <x:c r="G109" s="2"/>
    </x:row>
    <x:row r="110">
      <x:c r="A110" s="2"/>
      <x:c r="B110" s="2"/>
      <x:c r="C110" s="2"/>
      <x:c r="D110" s="2"/>
      <x:c r="E110" s="2"/>
      <x:c r="F110" s="2"/>
      <x:c r="G110" s="2"/>
    </x:row>
    <x:row r="111">
      <x:c r="A111" s="2"/>
      <x:c r="B111" s="2"/>
      <x:c r="C111" s="2"/>
      <x:c r="D111" s="2"/>
      <x:c r="E111" s="2"/>
      <x:c r="F111" s="2"/>
      <x:c r="G111" s="2"/>
    </x:row>
    <x:row r="112">
      <x:c r="A112" s="2"/>
      <x:c r="B112" s="2"/>
      <x:c r="C112" s="2"/>
      <x:c r="D112" s="2"/>
      <x:c r="E112" s="2"/>
      <x:c r="F112" s="2"/>
      <x:c r="G112" s="2"/>
    </x:row>
    <x:row r="113">
      <x:c r="A113" s="2"/>
      <x:c r="B113" s="2"/>
      <x:c r="C113" s="2"/>
      <x:c r="D113" s="2"/>
      <x:c r="E113" s="2"/>
      <x:c r="F113" s="2"/>
      <x:c r="G113" s="2"/>
    </x:row>
    <x:row r="114">
      <x:c r="A114" s="2"/>
      <x:c r="B114" s="2"/>
      <x:c r="C114" s="2"/>
      <x:c r="D114" s="2"/>
      <x:c r="E114" s="2"/>
      <x:c r="F114" s="2"/>
      <x:c r="G114" s="2"/>
    </x:row>
    <x:row r="115">
      <x:c r="A115" s="2"/>
      <x:c r="B115" s="2"/>
      <x:c r="C115" s="2"/>
      <x:c r="D115" s="2"/>
      <x:c r="E115" s="2"/>
      <x:c r="F115" s="2"/>
      <x:c r="G115" s="2"/>
    </x:row>
    <x:row r="116">
      <x:c r="A116" s="2"/>
      <x:c r="B116" s="2"/>
      <x:c r="C116" s="2"/>
      <x:c r="D116" s="2"/>
      <x:c r="E116" s="2"/>
      <x:c r="F116" s="2"/>
      <x:c r="G116" s="2"/>
    </x:row>
    <x:row r="117">
      <x:c r="A117" s="2"/>
      <x:c r="B117" s="2"/>
      <x:c r="C117" s="2"/>
      <x:c r="D117" s="2"/>
      <x:c r="E117" s="2"/>
      <x:c r="F117" s="2"/>
      <x:c r="G117" s="2"/>
    </x:row>
    <x:row r="118">
      <x:c r="A118" s="2"/>
      <x:c r="B118" s="2"/>
      <x:c r="C118" s="2"/>
      <x:c r="D118" s="2"/>
      <x:c r="E118" s="2"/>
      <x:c r="F118" s="2"/>
      <x:c r="G118" s="2"/>
    </x:row>
    <x:row r="119">
      <x:c r="A119" s="2"/>
      <x:c r="B119" s="2"/>
      <x:c r="C119" s="2"/>
      <x:c r="D119" s="2"/>
      <x:c r="E119" s="2"/>
      <x:c r="F119" s="2"/>
      <x:c r="G119" s="2"/>
    </x:row>
    <x:row r="120">
      <x:c r="A120" s="2"/>
      <x:c r="B120" s="2"/>
      <x:c r="C120" s="2"/>
      <x:c r="D120" s="2"/>
      <x:c r="E120" s="2"/>
      <x:c r="F120" s="2"/>
      <x:c r="G120" s="2"/>
    </x:row>
  </x:sheetData>
  <x:pageMargins left="0.7" right="0.7" top="0.75" bottom="0.75" header="0.3" footer="0.3"/>
  <x:tableParts count="1">
    <x:tablePart xmlns:r="http://schemas.openxmlformats.org/officeDocument/2006/relationships" r:id="Re6cd0a461e774dbc"/>
  </x:tableParts>
</x:worksheet>
</file>